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slicers/slicer2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3"/>
  <workbookPr/>
  <mc:AlternateContent xmlns:mc="http://schemas.openxmlformats.org/markup-compatibility/2006">
    <mc:Choice Requires="x15">
      <x15ac:absPath xmlns:x15ac="http://schemas.microsoft.com/office/spreadsheetml/2010/11/ac" url="C:\Users\Raúl\Dropbox (Personal)\2026\RESPALDO DE BASE DE DATOS\"/>
    </mc:Choice>
  </mc:AlternateContent>
  <xr:revisionPtr revIDLastSave="0" documentId="13_ncr:1_{DF4CE410-6785-43C7-B549-86AAE1EF8F9B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REPORTE" sheetId="5" r:id="rId1"/>
    <sheet name="NIVEL 1" sheetId="1" r:id="rId2"/>
    <sheet name="NIVEL 2" sheetId="2" r:id="rId3"/>
    <sheet name="NIVEL 3" sheetId="3" r:id="rId4"/>
    <sheet name="EQUIPO" sheetId="7" r:id="rId5"/>
  </sheets>
  <definedNames>
    <definedName name="_xlcn.WorksheetConnection_EVALUACIONESMNM2024.xlsxNIVEL_11" hidden="1">NIVEL_1[]</definedName>
    <definedName name="_xlcn.WorksheetConnection_EVALUACIONESMNM2024.xlsxNIVEL_21" hidden="1">NIVEL_2[]</definedName>
    <definedName name="_xlcn.WorksheetConnection_EVALUACIONESMNM2024.xlsxNIVEL_31" hidden="1">NIVEL_3[]</definedName>
    <definedName name="_xlnm.Print_Area" localSheetId="4">EQUIPO!#REF!</definedName>
    <definedName name="_xlnm.Print_Area" localSheetId="1">'NIVEL 1'!#REF!</definedName>
    <definedName name="_xlnm.Print_Area" localSheetId="2">'NIVEL 2'!#REF!</definedName>
    <definedName name="_xlnm.Print_Area" localSheetId="3">'NIVEL 3'!#REF!</definedName>
    <definedName name="SegmentaciónDeDatos_MES">#N/A</definedName>
    <definedName name="SegmentaciónDeDatos_NOMBRE_DEL_ALUMNO">#N/A</definedName>
    <definedName name="SegmentaciónDeDatos_NOMBRE_DEL_ALUMNO1">#N/A</definedName>
    <definedName name="_xlnm.Print_Titles" localSheetId="1">'NIVEL 1'!$1:$2</definedName>
    <definedName name="_xlnm.Print_Titles" localSheetId="2">'NIVEL 2'!$1:$2</definedName>
    <definedName name="_xlnm.Print_Titles" localSheetId="3">'NIVEL 3'!$1:$2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6"/>
        <x14:slicerCache r:id="rId7"/>
        <x14:slicerCache r:id="rId8"/>
      </x15:slicerCach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IVEL_3" name="NIVEL_3" connection="WorksheetConnection_EVALUACIONES MNM 2024.xlsx!NIVEL_3"/>
          <x15:modelTable id="NIVEL_2" name="NIVEL_2" connection="WorksheetConnection_EVALUACIONES MNM 2024.xlsx!NIVEL_2"/>
          <x15:modelTable id="NIVEL_1" name="NIVEL_1" connection="WorksheetConnection_EVALUACIONES MNM 2024.xlsx!NIVEL_1"/>
        </x15:modelTables>
        <x15:modelRelationships>
          <x15:modelRelationship fromTable="NIVEL_1" fromColumn="MES" toTable="NIVEL_2" toColumn="MES"/>
          <x15:modelRelationship fromTable="NIVEL_1" fromColumn="MES" toTable="NIVEL_3" toColumn="MES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3" l="1"/>
  <c r="B6" i="3"/>
  <c r="C6" i="3"/>
  <c r="T6" i="3"/>
  <c r="U6" i="3" s="1" a="1"/>
  <c r="U6" i="3" s="1"/>
  <c r="N23" i="2"/>
  <c r="N22" i="2"/>
  <c r="O22" i="2" s="1" a="1"/>
  <c r="O22" i="2" s="1"/>
  <c r="N21" i="2"/>
  <c r="N20" i="2"/>
  <c r="O20" i="2" s="1" a="1"/>
  <c r="O20" i="2" s="1"/>
  <c r="N19" i="2"/>
  <c r="O19" i="2" s="1" a="1"/>
  <c r="O19" i="2" s="1"/>
  <c r="N18" i="2"/>
  <c r="O18" i="2" s="1" a="1"/>
  <c r="O18" i="2" s="1"/>
  <c r="N17" i="2"/>
  <c r="O17" i="2" s="1" a="1"/>
  <c r="O17" i="2" s="1"/>
  <c r="N16" i="2"/>
  <c r="O16" i="2" s="1" a="1"/>
  <c r="O16" i="2" s="1"/>
  <c r="N15" i="2"/>
  <c r="O15" i="2" s="1" a="1"/>
  <c r="O15" i="2" s="1"/>
  <c r="N14" i="2"/>
  <c r="O14" i="2" s="1" a="1"/>
  <c r="O14" i="2" s="1"/>
  <c r="N13" i="2"/>
  <c r="O13" i="2" s="1" a="1"/>
  <c r="O13" i="2" s="1"/>
  <c r="N12" i="2"/>
  <c r="O12" i="2" s="1" a="1"/>
  <c r="O12" i="2" s="1"/>
  <c r="N11" i="2"/>
  <c r="O11" i="2" s="1" a="1"/>
  <c r="O11" i="2" s="1"/>
  <c r="N10" i="2"/>
  <c r="O10" i="2" s="1" a="1"/>
  <c r="O10" i="2" s="1"/>
  <c r="N9" i="2"/>
  <c r="O9" i="2" s="1" a="1"/>
  <c r="O9" i="2" s="1"/>
  <c r="N8" i="2"/>
  <c r="O8" i="2" s="1" a="1"/>
  <c r="O8" i="2" s="1"/>
  <c r="N7" i="2"/>
  <c r="O7" i="2" s="1" a="1"/>
  <c r="O7" i="2" s="1"/>
  <c r="N6" i="2"/>
  <c r="O6" i="2" s="1" a="1"/>
  <c r="O6" i="2" s="1"/>
  <c r="N5" i="2"/>
  <c r="O5" i="2" s="1" a="1"/>
  <c r="O5" i="2" s="1"/>
  <c r="N4" i="2"/>
  <c r="O4" i="2" s="1" a="1"/>
  <c r="O4" i="2" s="1"/>
  <c r="A15" i="2"/>
  <c r="A12" i="2"/>
  <c r="A14" i="2"/>
  <c r="A16" i="2"/>
  <c r="A22" i="2"/>
  <c r="A13" i="2"/>
  <c r="A20" i="2"/>
  <c r="A17" i="2"/>
  <c r="A19" i="2"/>
  <c r="A18" i="2"/>
  <c r="A23" i="2"/>
  <c r="A21" i="2"/>
  <c r="B15" i="2"/>
  <c r="B12" i="2"/>
  <c r="B14" i="2"/>
  <c r="B16" i="2"/>
  <c r="B22" i="2"/>
  <c r="B13" i="2"/>
  <c r="B20" i="2"/>
  <c r="B17" i="2"/>
  <c r="B19" i="2"/>
  <c r="B18" i="2"/>
  <c r="B23" i="2"/>
  <c r="B21" i="2"/>
  <c r="C15" i="2"/>
  <c r="C12" i="2"/>
  <c r="C14" i="2"/>
  <c r="C16" i="2"/>
  <c r="C22" i="2"/>
  <c r="C13" i="2"/>
  <c r="C20" i="2"/>
  <c r="C17" i="2"/>
  <c r="C19" i="2"/>
  <c r="C18" i="2"/>
  <c r="C23" i="2"/>
  <c r="C21" i="2"/>
  <c r="O23" i="2" a="1"/>
  <c r="O23" i="2" s="1"/>
  <c r="O21" i="2" a="1"/>
  <c r="O21" i="2" s="1"/>
  <c r="N46" i="1"/>
  <c r="N45" i="1"/>
  <c r="N44" i="1"/>
  <c r="N43" i="1"/>
  <c r="N42" i="1"/>
  <c r="O42" i="1" s="1" a="1"/>
  <c r="O42" i="1" s="1"/>
  <c r="N41" i="1"/>
  <c r="N40" i="1"/>
  <c r="N39" i="1"/>
  <c r="N38" i="1"/>
  <c r="O38" i="1" s="1" a="1"/>
  <c r="O38" i="1" s="1"/>
  <c r="N37" i="1"/>
  <c r="N36" i="1"/>
  <c r="N35" i="1"/>
  <c r="N34" i="1"/>
  <c r="N33" i="1"/>
  <c r="N32" i="1"/>
  <c r="N31" i="1"/>
  <c r="N30" i="1"/>
  <c r="N29" i="1"/>
  <c r="N28" i="1"/>
  <c r="N27" i="1"/>
  <c r="O27" i="1" s="1" a="1"/>
  <c r="O27" i="1" s="1"/>
  <c r="N26" i="1"/>
  <c r="O26" i="1" s="1" a="1"/>
  <c r="O26" i="1" s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O12" i="1" s="1" a="1"/>
  <c r="O12" i="1" s="1"/>
  <c r="N11" i="1"/>
  <c r="O11" i="1" s="1" a="1"/>
  <c r="O11" i="1" s="1"/>
  <c r="N10" i="1"/>
  <c r="N9" i="1"/>
  <c r="N8" i="1"/>
  <c r="N7" i="1"/>
  <c r="N6" i="1"/>
  <c r="N5" i="1"/>
  <c r="N4" i="1"/>
  <c r="O28" i="1" a="1"/>
  <c r="O28" i="1" s="1"/>
  <c r="O46" i="1" a="1"/>
  <c r="O46" i="1" s="1"/>
  <c r="O45" i="1" a="1"/>
  <c r="O45" i="1" s="1"/>
  <c r="O29" i="1" a="1"/>
  <c r="O29" i="1" s="1"/>
  <c r="O35" i="1" a="1"/>
  <c r="O35" i="1" s="1"/>
  <c r="O39" i="1" a="1"/>
  <c r="O39" i="1" s="1"/>
  <c r="O43" i="1" a="1"/>
  <c r="O43" i="1" s="1"/>
  <c r="O44" i="1" a="1"/>
  <c r="O44" i="1" s="1"/>
  <c r="O31" i="1" a="1"/>
  <c r="O31" i="1" s="1"/>
  <c r="O37" i="1" a="1"/>
  <c r="O37" i="1" s="1"/>
  <c r="O33" i="1" a="1"/>
  <c r="O33" i="1" s="1"/>
  <c r="O34" i="1" a="1"/>
  <c r="O34" i="1" s="1"/>
  <c r="O36" i="1" a="1"/>
  <c r="O36" i="1" s="1"/>
  <c r="O40" i="1" a="1"/>
  <c r="O40" i="1" s="1"/>
  <c r="O41" i="1" a="1"/>
  <c r="O41" i="1" s="1"/>
  <c r="O30" i="1" a="1"/>
  <c r="O30" i="1" s="1"/>
  <c r="O32" i="1" a="1"/>
  <c r="O32" i="1" s="1"/>
  <c r="O25" i="1" a="1"/>
  <c r="O25" i="1" s="1"/>
  <c r="O24" i="1" a="1"/>
  <c r="O24" i="1" s="1"/>
  <c r="O23" i="1" a="1"/>
  <c r="O23" i="1" s="1"/>
  <c r="O22" i="1" a="1"/>
  <c r="O22" i="1" s="1"/>
  <c r="O21" i="1" a="1"/>
  <c r="O21" i="1" s="1"/>
  <c r="O20" i="1" a="1"/>
  <c r="O20" i="1" s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A32" i="1"/>
  <c r="B32" i="1" s="1"/>
  <c r="A30" i="1"/>
  <c r="B30" i="1" s="1"/>
  <c r="A41" i="1"/>
  <c r="B41" i="1" s="1"/>
  <c r="A27" i="1"/>
  <c r="B27" i="1" s="1"/>
  <c r="A38" i="1"/>
  <c r="B38" i="1" s="1"/>
  <c r="A42" i="1"/>
  <c r="B42" i="1" s="1"/>
  <c r="A40" i="1"/>
  <c r="B40" i="1" s="1"/>
  <c r="A36" i="1"/>
  <c r="B36" i="1" s="1"/>
  <c r="A34" i="1"/>
  <c r="B34" i="1" s="1"/>
  <c r="A33" i="1"/>
  <c r="B33" i="1" s="1"/>
  <c r="A37" i="1"/>
  <c r="B37" i="1" s="1"/>
  <c r="A31" i="1"/>
  <c r="B31" i="1" s="1"/>
  <c r="A44" i="1"/>
  <c r="B44" i="1" s="1"/>
  <c r="A43" i="1"/>
  <c r="B43" i="1" s="1"/>
  <c r="A39" i="1"/>
  <c r="B39" i="1" s="1"/>
  <c r="A35" i="1"/>
  <c r="B35" i="1" s="1"/>
  <c r="A29" i="1"/>
  <c r="B29" i="1" s="1"/>
  <c r="A45" i="1"/>
  <c r="B45" i="1" s="1"/>
  <c r="A46" i="1"/>
  <c r="B46" i="1" s="1"/>
  <c r="A28" i="1"/>
  <c r="B28" i="1" s="1"/>
  <c r="A26" i="1"/>
  <c r="B26" i="1" s="1"/>
  <c r="C32" i="1"/>
  <c r="C30" i="1"/>
  <c r="C41" i="1"/>
  <c r="C27" i="1"/>
  <c r="C38" i="1"/>
  <c r="C42" i="1"/>
  <c r="C40" i="1"/>
  <c r="C36" i="1"/>
  <c r="C34" i="1"/>
  <c r="C33" i="1"/>
  <c r="C37" i="1"/>
  <c r="C31" i="1"/>
  <c r="C44" i="1"/>
  <c r="C43" i="1"/>
  <c r="C39" i="1"/>
  <c r="C35" i="1"/>
  <c r="C29" i="1"/>
  <c r="C45" i="1"/>
  <c r="C46" i="1"/>
  <c r="C28" i="1"/>
  <c r="C26" i="1"/>
  <c r="T4" i="3"/>
  <c r="T5" i="3"/>
  <c r="T3" i="3"/>
  <c r="U3" i="3" s="1" a="1"/>
  <c r="U3" i="3" s="1"/>
  <c r="U4" i="3" a="1"/>
  <c r="U4" i="3" s="1"/>
  <c r="U5" i="3" a="1"/>
  <c r="U5" i="3" s="1"/>
  <c r="A5" i="3"/>
  <c r="B5" i="3" s="1"/>
  <c r="C5" i="3"/>
  <c r="A7" i="2"/>
  <c r="A5" i="2"/>
  <c r="A10" i="2"/>
  <c r="A6" i="2"/>
  <c r="A9" i="2"/>
  <c r="A8" i="2"/>
  <c r="A11" i="2"/>
  <c r="B7" i="2"/>
  <c r="B5" i="2"/>
  <c r="B10" i="2"/>
  <c r="B6" i="2"/>
  <c r="B9" i="2"/>
  <c r="B8" i="2"/>
  <c r="B11" i="2"/>
  <c r="C7" i="2"/>
  <c r="C5" i="2"/>
  <c r="C10" i="2"/>
  <c r="C6" i="2"/>
  <c r="C9" i="2"/>
  <c r="C8" i="2"/>
  <c r="C11" i="2"/>
  <c r="A22" i="1"/>
  <c r="B22" i="1" s="1"/>
  <c r="A13" i="1"/>
  <c r="B13" i="1" s="1"/>
  <c r="A17" i="1"/>
  <c r="B17" i="1" s="1"/>
  <c r="A23" i="1"/>
  <c r="B23" i="1" s="1"/>
  <c r="A20" i="1"/>
  <c r="B20" i="1" s="1"/>
  <c r="A21" i="1"/>
  <c r="B21" i="1" s="1"/>
  <c r="A18" i="1"/>
  <c r="B18" i="1" s="1"/>
  <c r="A16" i="1"/>
  <c r="B16" i="1" s="1"/>
  <c r="A15" i="1"/>
  <c r="B15" i="1" s="1"/>
  <c r="A19" i="1"/>
  <c r="B19" i="1" s="1"/>
  <c r="A24" i="1"/>
  <c r="B24" i="1" s="1"/>
  <c r="A14" i="1"/>
  <c r="B14" i="1" s="1"/>
  <c r="A25" i="1"/>
  <c r="B25" i="1" s="1"/>
  <c r="C22" i="1"/>
  <c r="C13" i="1"/>
  <c r="C17" i="1"/>
  <c r="C23" i="1"/>
  <c r="C20" i="1"/>
  <c r="C21" i="1"/>
  <c r="C18" i="1"/>
  <c r="C16" i="1"/>
  <c r="C15" i="1"/>
  <c r="C19" i="1"/>
  <c r="C24" i="1"/>
  <c r="C14" i="1"/>
  <c r="C25" i="1"/>
  <c r="N3" i="2"/>
  <c r="O3" i="2" s="1" a="1"/>
  <c r="O3" i="2" s="1"/>
  <c r="N3" i="1"/>
  <c r="O3" i="1" s="1" a="1"/>
  <c r="O3" i="1" s="1"/>
  <c r="A4" i="3" l="1"/>
  <c r="B4" i="3" s="1"/>
  <c r="A3" i="3"/>
  <c r="B3" i="3" s="1"/>
  <c r="C4" i="3"/>
  <c r="C3" i="3"/>
  <c r="C4" i="2"/>
  <c r="C3" i="2"/>
  <c r="A4" i="2"/>
  <c r="B4" i="2" s="1"/>
  <c r="A3" i="2"/>
  <c r="B3" i="2" s="1"/>
  <c r="A6" i="1"/>
  <c r="B6" i="1" s="1"/>
  <c r="A12" i="1"/>
  <c r="B12" i="1" s="1"/>
  <c r="A11" i="1"/>
  <c r="B11" i="1" s="1"/>
  <c r="A3" i="1"/>
  <c r="B3" i="1" s="1"/>
  <c r="A4" i="1"/>
  <c r="B4" i="1" s="1"/>
  <c r="A8" i="1"/>
  <c r="B8" i="1" s="1"/>
  <c r="A9" i="1"/>
  <c r="B9" i="1" s="1"/>
  <c r="A7" i="1"/>
  <c r="B7" i="1" s="1"/>
  <c r="A5" i="1"/>
  <c r="B5" i="1" s="1"/>
  <c r="C6" i="1"/>
  <c r="C12" i="1"/>
  <c r="C11" i="1"/>
  <c r="C3" i="1"/>
  <c r="C4" i="1"/>
  <c r="C8" i="1"/>
  <c r="C9" i="1"/>
  <c r="C7" i="1"/>
  <c r="C5" i="1"/>
  <c r="C10" i="1"/>
  <c r="A10" i="1"/>
  <c r="B10" i="1" s="1"/>
  <c r="I2" i="5" l="1"/>
  <c r="I3" i="5"/>
  <c r="I4" i="5"/>
  <c r="I5" i="5"/>
  <c r="I6" i="5"/>
  <c r="I7" i="5"/>
  <c r="I8" i="5"/>
  <c r="I9" i="5"/>
  <c r="I10" i="5"/>
  <c r="I11" i="5"/>
  <c r="I12" i="5"/>
  <c r="I13" i="5"/>
  <c r="H5" i="5" l="1"/>
  <c r="H8" i="5"/>
  <c r="H2" i="5"/>
  <c r="H7" i="5"/>
  <c r="H4" i="5"/>
  <c r="H3" i="5"/>
  <c r="H11" i="5"/>
  <c r="H13" i="5"/>
  <c r="H12" i="5"/>
  <c r="H9" i="5"/>
  <c r="H10" i="5"/>
  <c r="H6" i="5"/>
  <c r="C13" i="5"/>
  <c r="G10" i="5"/>
  <c r="G4" i="5"/>
  <c r="G2" i="5"/>
  <c r="G11" i="5"/>
  <c r="G3" i="5"/>
  <c r="G9" i="5"/>
  <c r="G8" i="5"/>
  <c r="G7" i="5"/>
  <c r="G6" i="5"/>
  <c r="G13" i="5"/>
  <c r="G5" i="5"/>
  <c r="G12" i="5"/>
  <c r="E2" i="5"/>
  <c r="F11" i="5"/>
  <c r="F9" i="5"/>
  <c r="E6" i="5"/>
  <c r="F12" i="5"/>
  <c r="E8" i="5"/>
  <c r="E13" i="5"/>
  <c r="E5" i="5"/>
  <c r="E12" i="5"/>
  <c r="E4" i="5"/>
  <c r="F10" i="5"/>
  <c r="E11" i="5"/>
  <c r="E3" i="5"/>
  <c r="E9" i="5"/>
  <c r="E7" i="5"/>
  <c r="F2" i="5"/>
  <c r="F13" i="5"/>
  <c r="E10" i="5"/>
  <c r="D13" i="5"/>
  <c r="C11" i="5"/>
  <c r="C6" i="5"/>
  <c r="C5" i="5"/>
  <c r="C3" i="5"/>
  <c r="D12" i="5"/>
  <c r="C12" i="5"/>
  <c r="C4" i="5"/>
  <c r="C10" i="5"/>
  <c r="C2" i="5"/>
  <c r="C9" i="5"/>
  <c r="D11" i="5"/>
  <c r="C8" i="5"/>
  <c r="D10" i="5"/>
  <c r="C7" i="5"/>
  <c r="D9" i="5"/>
  <c r="D6" i="5"/>
  <c r="D5" i="5"/>
  <c r="D7" i="5"/>
  <c r="D8" i="5"/>
  <c r="D4" i="5"/>
  <c r="D2" i="5"/>
  <c r="D3" i="5"/>
  <c r="F7" i="5"/>
  <c r="F5" i="5"/>
  <c r="F8" i="5"/>
  <c r="F3" i="5"/>
  <c r="F4" i="5"/>
  <c r="F6" i="5"/>
  <c r="B12" i="5" l="1"/>
  <c r="B9" i="5"/>
  <c r="B6" i="5"/>
  <c r="B2" i="5"/>
  <c r="B4" i="5"/>
  <c r="B5" i="5"/>
  <c r="B11" i="5"/>
  <c r="B7" i="5"/>
  <c r="B10" i="5"/>
  <c r="B8" i="5"/>
  <c r="B3" i="5"/>
  <c r="B1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EVALUACIONES MNM 2024.xlsx!NIVEL_1" type="102" refreshedVersion="8" minRefreshableVersion="5">
    <extLst>
      <ext xmlns:x15="http://schemas.microsoft.com/office/spreadsheetml/2010/11/main" uri="{DE250136-89BD-433C-8126-D09CA5730AF9}">
        <x15:connection id="NIVEL_1">
          <x15:rangePr sourceName="_xlcn.WorksheetConnection_EVALUACIONESMNM2024.xlsxNIVEL_11"/>
        </x15:connection>
      </ext>
    </extLst>
  </connection>
  <connection id="3" xr16:uid="{00000000-0015-0000-FFFF-FFFF02000000}" name="WorksheetConnection_EVALUACIONES MNM 2024.xlsx!NIVEL_2" type="102" refreshedVersion="8" minRefreshableVersion="5">
    <extLst>
      <ext xmlns:x15="http://schemas.microsoft.com/office/spreadsheetml/2010/11/main" uri="{DE250136-89BD-433C-8126-D09CA5730AF9}">
        <x15:connection id="NIVEL_2">
          <x15:rangePr sourceName="_xlcn.WorksheetConnection_EVALUACIONESMNM2024.xlsxNIVEL_21"/>
        </x15:connection>
      </ext>
    </extLst>
  </connection>
  <connection id="4" xr16:uid="{00000000-0015-0000-FFFF-FFFF03000000}" name="WorksheetConnection_EVALUACIONES MNM 2024.xlsx!NIVEL_3" type="102" refreshedVersion="8" minRefreshableVersion="5">
    <extLst>
      <ext xmlns:x15="http://schemas.microsoft.com/office/spreadsheetml/2010/11/main" uri="{DE250136-89BD-433C-8126-D09CA5730AF9}">
        <x15:connection id="NIVEL_3">
          <x15:rangePr sourceName="_xlcn.WorksheetConnection_EVALUACIONESMNM2024.xlsxNIVEL_3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<sst xmlns="http://schemas.openxmlformats.org/spreadsheetml/2006/main" count="194" uniqueCount="115">
  <si>
    <t>NOMBRE DEL ALUMNO</t>
  </si>
  <si>
    <t>DOCUMENTO</t>
  </si>
  <si>
    <t>AMBIENTACION</t>
  </si>
  <si>
    <t>FLOTACION DEFENSIVA</t>
  </si>
  <si>
    <t>PATADA CROL</t>
  </si>
  <si>
    <t>PADATA ESPALDA</t>
  </si>
  <si>
    <t>ENS. CROL</t>
  </si>
  <si>
    <t>ENS ESPALDA</t>
  </si>
  <si>
    <t>SALTO</t>
  </si>
  <si>
    <t>Pase de Nivel 4,7 ptos</t>
  </si>
  <si>
    <t>Cambio de Nivel</t>
  </si>
  <si>
    <t>Fecha de Evaluación</t>
  </si>
  <si>
    <t>TECN ESTILO CROL</t>
  </si>
  <si>
    <t>TECN ESTILO ESPAL</t>
  </si>
  <si>
    <t>ENSE EST PECHO</t>
  </si>
  <si>
    <t>ENSE EST MARIPOSA</t>
  </si>
  <si>
    <t>50 m LIBRE</t>
  </si>
  <si>
    <t>100m CROL</t>
  </si>
  <si>
    <t>VUELTA OLIMP. CROL</t>
  </si>
  <si>
    <t>LLEGADA CROL</t>
  </si>
  <si>
    <t>100m ESPALDA</t>
  </si>
  <si>
    <t>25m MARIPOSA</t>
  </si>
  <si>
    <t>25m PECHO</t>
  </si>
  <si>
    <t>Pase de Nivel 4,9 ptos</t>
  </si>
  <si>
    <t>LLEGADA MARIPOSA</t>
  </si>
  <si>
    <t>SALIDA OLIMP. PECHO</t>
  </si>
  <si>
    <t>LLEGADA PECHO</t>
  </si>
  <si>
    <t>LLEGADA ESPALDA</t>
  </si>
  <si>
    <t>VUELTA OLIMP. ESPALDA</t>
  </si>
  <si>
    <t>SALIDA OLIMP. ESPALDA</t>
  </si>
  <si>
    <t>INI SALIDA OLIMPICA</t>
  </si>
  <si>
    <t>INI VUELTA OLIMPICA</t>
  </si>
  <si>
    <t>SALIDA OLIMP. MARIPOSA</t>
  </si>
  <si>
    <r>
      <t>Valor de Ejecución: </t>
    </r>
    <r>
      <rPr>
        <b/>
        <sz val="9"/>
        <color rgb="FF000000"/>
        <rFont val="Calibri"/>
        <family val="2"/>
        <scheme val="minor"/>
      </rPr>
      <t>5pts</t>
    </r>
    <r>
      <rPr>
        <sz val="9"/>
        <color rgb="FF000000"/>
        <rFont val="Calibri"/>
        <family val="2"/>
        <scheme val="minor"/>
      </rPr>
      <t> Excelente,</t>
    </r>
    <r>
      <rPr>
        <b/>
        <sz val="9"/>
        <color rgb="FF000000"/>
        <rFont val="Calibri"/>
        <family val="2"/>
        <scheme val="minor"/>
      </rPr>
      <t> 4pts</t>
    </r>
    <r>
      <rPr>
        <sz val="9"/>
        <color rgb="FF000000"/>
        <rFont val="Calibri"/>
        <family val="2"/>
        <scheme val="minor"/>
      </rPr>
      <t> Muy Bueno, </t>
    </r>
    <r>
      <rPr>
        <b/>
        <sz val="9"/>
        <color rgb="FF000000"/>
        <rFont val="Calibri"/>
        <family val="2"/>
        <scheme val="minor"/>
      </rPr>
      <t>3pts</t>
    </r>
    <r>
      <rPr>
        <sz val="9"/>
        <color rgb="FF000000"/>
        <rFont val="Calibri"/>
        <family val="2"/>
        <scheme val="minor"/>
      </rPr>
      <t> Bueno, </t>
    </r>
    <r>
      <rPr>
        <b/>
        <sz val="9"/>
        <color rgb="FF000000"/>
        <rFont val="Calibri"/>
        <family val="2"/>
        <scheme val="minor"/>
      </rPr>
      <t>2pts</t>
    </r>
    <r>
      <rPr>
        <sz val="9"/>
        <color rgb="FF000000"/>
        <rFont val="Calibri"/>
        <family val="2"/>
        <scheme val="minor"/>
      </rPr>
      <t> Regular, </t>
    </r>
    <r>
      <rPr>
        <b/>
        <sz val="9"/>
        <color rgb="FF000000"/>
        <rFont val="Calibri"/>
        <family val="2"/>
        <scheme val="minor"/>
      </rPr>
      <t>1pt</t>
    </r>
    <r>
      <rPr>
        <sz val="9"/>
        <color rgb="FF000000"/>
        <rFont val="Calibri"/>
        <family val="2"/>
        <scheme val="minor"/>
      </rPr>
      <t> En Desarrollo</t>
    </r>
  </si>
  <si>
    <t>MES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</si>
  <si>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</si>
  <si>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</si>
  <si>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</si>
  <si>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</si>
  <si>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</si>
  <si>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</si>
  <si>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</si>
  <si>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</si>
  <si>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</si>
  <si>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</si>
  <si>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</si>
  <si>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</si>
  <si>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NIVEL</t>
  </si>
  <si>
    <t>NIVEL 1</t>
  </si>
  <si>
    <t>MESES</t>
  </si>
  <si>
    <t>TOTAL N1</t>
  </si>
  <si>
    <t>CAMBIO N2</t>
  </si>
  <si>
    <t>TOTAL N2</t>
  </si>
  <si>
    <t>CAMBIO N3</t>
  </si>
  <si>
    <t>TOTAL N3</t>
  </si>
  <si>
    <t>A EQUIPO</t>
  </si>
  <si>
    <t>T. EQUIPO</t>
  </si>
  <si>
    <t>T. ALUMNOS</t>
  </si>
  <si>
    <t>NIVEL 2</t>
  </si>
  <si>
    <t>NIVEL 3</t>
  </si>
  <si>
    <t>N°</t>
  </si>
  <si>
    <t>#</t>
  </si>
  <si>
    <t>Mariana Sarabia Aldana</t>
  </si>
  <si>
    <t>Mario Jose Durango Petro</t>
  </si>
  <si>
    <t>Matias Sarabia Aldana</t>
  </si>
  <si>
    <t>Piedad Norelia Orrego Chavarria</t>
  </si>
  <si>
    <t>Thiago Padilla</t>
  </si>
  <si>
    <t>Diandra Diaz</t>
  </si>
  <si>
    <t>Liss Natalia Berrio</t>
  </si>
  <si>
    <t>Elsa Vergara</t>
  </si>
  <si>
    <t>Raul Elias Ruiz Garcia</t>
  </si>
  <si>
    <t>Maria Paula Fuentes</t>
  </si>
  <si>
    <t>Rhonald Ricardo Hernandez Andrade</t>
  </si>
  <si>
    <t>Susana Hoyos</t>
  </si>
  <si>
    <t>Francisco Javier Negrete Contreras</t>
  </si>
  <si>
    <t>Jose Alejandro Peña Angulo</t>
  </si>
  <si>
    <t>Sarath Milena Valencia Agudelo</t>
  </si>
  <si>
    <t>Tomas Sossa Ayala</t>
  </si>
  <si>
    <t>Joel Zuluaga Charis</t>
  </si>
  <si>
    <t>Thiago Mendoza Cervantes</t>
  </si>
  <si>
    <t>Maria Angel Verbel Gonzalez</t>
  </si>
  <si>
    <t>Abraham Peñates Ramos</t>
  </si>
  <si>
    <t>Alanna Sofía Barreiro Garcés</t>
  </si>
  <si>
    <t>Julio Cáceres flores</t>
  </si>
  <si>
    <t>Martin Laureano Hernández Ensuncho</t>
  </si>
  <si>
    <t>Felipe Barreiro franco</t>
  </si>
  <si>
    <t>Edinson Herrera de Oro</t>
  </si>
  <si>
    <t>Esteban Sossa Uparela</t>
  </si>
  <si>
    <t>Gabriel Hoyos Ruiz</t>
  </si>
  <si>
    <t>Jhonatan Steven Cortez Bolivar</t>
  </si>
  <si>
    <t>Juan Luis Guerra Viloria</t>
  </si>
  <si>
    <t>Kaylen Jireth Núñez Hernández</t>
  </si>
  <si>
    <t>Laura Andrea Montes Lopez</t>
  </si>
  <si>
    <t>Lisbeth Arrieta Espejo</t>
  </si>
  <si>
    <t>MAURICIO JOSE ROSSO PINTO</t>
  </si>
  <si>
    <t>Nicolas Jaraba Mercado</t>
  </si>
  <si>
    <t>PILAR TERESA GONZALEZ ACOSTA</t>
  </si>
  <si>
    <t>Susanna Pinzon Pajaro</t>
  </si>
  <si>
    <t>EQUIPO</t>
  </si>
  <si>
    <t>Eduardo Luis Diaz Olivo</t>
  </si>
  <si>
    <t>Laura Ruiz Palomo</t>
  </si>
  <si>
    <t>Miguel Castro Montes</t>
  </si>
  <si>
    <t>Dario Restrepo Rojas</t>
  </si>
  <si>
    <t>Saray Bastidas Pelaez</t>
  </si>
  <si>
    <t>Santiago Peñates Ramos</t>
  </si>
  <si>
    <t>Joel Jaraba Rosario</t>
  </si>
  <si>
    <t>Angie Tatiana Patiño Segura</t>
  </si>
  <si>
    <t>Evangely Bravo Padilla</t>
  </si>
  <si>
    <t>Valeria Martinez Valero</t>
  </si>
  <si>
    <t>Maria Carolina Tannus</t>
  </si>
  <si>
    <t>Maria Fernanda Cogollo Cogollo</t>
  </si>
  <si>
    <t>Elias Vergara Villalba</t>
  </si>
  <si>
    <t>Ever Junior Polo Lozano</t>
  </si>
  <si>
    <t>Sara Lucia Movilla Villalba</t>
  </si>
  <si>
    <t>Valeria Guerra Machado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</si>
</sst>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9"/>
      <color theme="1"/>
      <name val="Calibri"/>
      <family val="2"/>
      <scheme val="minor"/>
    </font>
    <font>
      <sz val="8"/>
      <color rgb="FF000000"/>
      <name val="Calibri"/>
      <family val="2"/>
    </font>
    <font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4" fontId="3" fillId="0" borderId="0" xfId="0" applyNumberFormat="1" applyFont="1" applyAlignment="1">
      <alignment horizontal="center"/>
    </xf>
    <xf numFmtId="14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0" fillId="0" borderId="0" xfId="0" applyAlignment="1">
      <alignment vertic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9" fillId="0" borderId="0" xfId="0" applyFont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Continuous" vertical="center"/>
    </xf>
    <xf numFmtId="0" fontId="0" fillId="0" borderId="0" xfId="0" applyAlignment="1">
      <alignment horizontal="centerContinuous"/>
    </xf>
    <xf numFmtId="0" fontId="5" fillId="0" borderId="1" xfId="0" applyFont="1" applyBorder="1" applyAlignment="1">
      <alignment horizontal="centerContinuous" vertical="center"/>
    </xf>
    <xf numFmtId="165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165" fontId="0" fillId="0" borderId="0" xfId="0" applyNumberFormat="1" applyFont="1" applyFill="1" applyAlignment="1">
      <alignment horizontal="center"/>
    </xf>
    <xf numFmtId="0" fontId="3" fillId="0" borderId="0" xfId="0" applyNumberFormat="1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left"/>
    </xf>
    <xf numFmtId="0" fontId="0" fillId="0" borderId="0" xfId="0" applyFill="1" applyAlignment="1">
      <alignment horizontal="center"/>
    </xf>
    <xf numFmtId="0" fontId="0" fillId="0" borderId="0" xfId="0" applyFont="1" applyFill="1" applyAlignment="1">
      <alignment horizontal="center"/>
    </xf>
    <xf numFmtId="0" fontId="1" fillId="0" borderId="0" xfId="0" applyFont="1" applyFill="1" applyAlignment="1">
      <alignment horizontal="center"/>
    </xf>
    <xf numFmtId="0" fontId="3" fillId="0" borderId="0" xfId="0" applyFont="1" applyFill="1" applyAlignment="1">
      <alignment horizontal="center" vertical="center"/>
    </xf>
    <xf numFmtId="0" fontId="1" fillId="0" borderId="0" xfId="0" applyNumberFormat="1" applyFont="1" applyFill="1" applyAlignment="1">
      <alignment horizontal="center"/>
    </xf>
    <xf numFmtId="165" fontId="0" fillId="0" borderId="0" xfId="0" applyNumberFormat="1" applyFont="1" applyFill="1" applyAlignment="1">
      <alignment horizontal="center" vertical="center" wrapText="1"/>
    </xf>
    <xf numFmtId="0" fontId="3" fillId="0" borderId="0" xfId="0" applyNumberFormat="1" applyFont="1" applyFill="1" applyAlignment="1">
      <alignment horizontal="center" vertical="center" wrapText="1"/>
    </xf>
    <xf numFmtId="14" fontId="3" fillId="0" borderId="0" xfId="0" applyNumberFormat="1" applyFont="1" applyFill="1" applyAlignment="1">
      <alignment horizontal="center" vertical="center" wrapText="1"/>
    </xf>
    <xf numFmtId="0" fontId="0" fillId="0" borderId="0" xfId="0" applyFont="1" applyFill="1" applyAlignment="1">
      <alignment horizontal="left" vertical="center"/>
    </xf>
    <xf numFmtId="0" fontId="0" fillId="0" borderId="0" xfId="0" applyFont="1" applyFill="1" applyAlignment="1">
      <alignment horizontal="center" vertical="center" wrapText="1"/>
    </xf>
    <xf numFmtId="164" fontId="0" fillId="0" borderId="0" xfId="0" applyNumberFormat="1" applyFont="1" applyFill="1" applyAlignment="1">
      <alignment horizontal="center" vertical="center" wrapText="1"/>
    </xf>
    <xf numFmtId="0" fontId="1" fillId="0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0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EVALUADOS X NIVELES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REPORTE!$C$1</c:f>
              <c:strCache>
                <c:ptCount val="1"/>
                <c:pt idx="0">
                  <c:v>TOTAL N1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REPORTE!$C$2:$C$13</c:f>
              <c:numCache>
                <c:formatCode>General</c:formatCode>
                <c:ptCount val="12"/>
                <c:pt idx="0">
                  <c:v>10</c:v>
                </c:pt>
                <c:pt idx="1">
                  <c:v>13</c:v>
                </c:pt>
                <c:pt idx="2">
                  <c:v>21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12-464B-B4B5-C1495EA868F5}"/>
            </c:ext>
          </c:extLst>
        </c:ser>
        <c:ser>
          <c:idx val="3"/>
          <c:order val="3"/>
          <c:tx>
            <c:strRef>
              <c:f>REPORTE!$E$1</c:f>
              <c:strCache>
                <c:ptCount val="1"/>
                <c:pt idx="0">
                  <c:v>TOTAL N2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REPORTE!$E$2:$E$13</c:f>
              <c:numCache>
                <c:formatCode>General</c:formatCode>
                <c:ptCount val="12"/>
                <c:pt idx="0">
                  <c:v>2</c:v>
                </c:pt>
                <c:pt idx="1">
                  <c:v>7</c:v>
                </c:pt>
                <c:pt idx="2">
                  <c:v>12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712-464B-B4B5-C1495EA868F5}"/>
            </c:ext>
          </c:extLst>
        </c:ser>
        <c:ser>
          <c:idx val="5"/>
          <c:order val="5"/>
          <c:tx>
            <c:strRef>
              <c:f>REPORTE!$G$1</c:f>
              <c:strCache>
                <c:ptCount val="1"/>
                <c:pt idx="0">
                  <c:v>TOTAL N3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REPORTE!$G$2:$G$13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712-464B-B4B5-C1495EA868F5}"/>
            </c:ext>
          </c:extLst>
        </c:ser>
        <c:ser>
          <c:idx val="7"/>
          <c:order val="7"/>
          <c:tx>
            <c:strRef>
              <c:f>REPORTE!$I$1</c:f>
              <c:strCache>
                <c:ptCount val="1"/>
                <c:pt idx="0">
                  <c:v>T. EQUIPO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</a:ln>
            <a:effectLst>
              <a:glow rad="139700">
                <a:schemeClr val="accent2">
                  <a:lumMod val="6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lumMod val="60000"/>
                    <a:satMod val="175000"/>
                    <a:alpha val="25000"/>
                  </a:schemeClr>
                </a:glow>
              </a:effectLst>
            </c:spPr>
          </c:marker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5D7-41BF-B5B9-01E2769141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REPORTE!$I$2:$I$13</c:f>
              <c:numCache>
                <c:formatCode>General</c:formatCode>
                <c:ptCount val="12"/>
                <c:pt idx="0">
                  <c:v>0</c:v>
                </c:pt>
                <c:pt idx="1">
                  <c:v>14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1712-464B-B4B5-C1495EA868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REPORTE!$B$1</c15:sqref>
                        </c15:formulaRef>
                      </c:ext>
                    </c:extLst>
                    <c:strCache>
                      <c:ptCount val="1"/>
                      <c:pt idx="0">
                        <c:v>T. ALUMNOS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</a:ln>
                  <a:effectLst>
                    <a:glow rad="139700">
                      <a:schemeClr val="accent1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1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14</c:v>
                      </c:pt>
                      <c:pt idx="1">
                        <c:v>35</c:v>
                      </c:pt>
                      <c:pt idx="2">
                        <c:v>34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1712-464B-B4B5-C1495EA868F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REPORTE!$D$1</c15:sqref>
                        </c15:formulaRef>
                      </c:ext>
                    </c:extLst>
                    <c:strCache>
                      <c:ptCount val="1"/>
                      <c:pt idx="0">
                        <c:v>CAMBIO N2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</a:ln>
                  <a:effectLst>
                    <a:glow rad="139700">
                      <a:schemeClr val="accent3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3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1</c:v>
                      </c:pt>
                      <c:pt idx="2">
                        <c:v>4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712-464B-B4B5-C1495EA868F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REPORTE!$F$1</c15:sqref>
                        </c15:formulaRef>
                      </c:ext>
                    </c:extLst>
                    <c:strCache>
                      <c:ptCount val="1"/>
                      <c:pt idx="0">
                        <c:v>CAMBIO N3</c:v>
                      </c:pt>
                    </c:strCache>
                  </c:strRef>
                </c:tx>
                <c:spPr>
                  <a:ln w="22225" cap="rnd">
                    <a:solidFill>
                      <a:schemeClr val="accent5"/>
                    </a:solidFill>
                  </a:ln>
                  <a:effectLst>
                    <a:glow rad="139700">
                      <a:schemeClr val="accent5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5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REPORTE!$F$2:$F$13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712-464B-B4B5-C1495EA868F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REPORTE!$H$1</c15:sqref>
                        </c15:formulaRef>
                      </c:ext>
                    </c:extLst>
                    <c:strCache>
                      <c:ptCount val="1"/>
                      <c:pt idx="0">
                        <c:v>A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1">
                        <a:lumMod val="60000"/>
                      </a:schemeClr>
                    </a:solidFill>
                  </a:ln>
                  <a:effectLst>
                    <a:glow rad="139700">
                      <a:schemeClr val="accent1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1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1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REPORTE!$H$2:$H$13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712-464B-B4B5-C1495EA868F5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CAMBIO X NIVELES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REPORTE!$D$1</c:f>
              <c:strCache>
                <c:ptCount val="1"/>
                <c:pt idx="0">
                  <c:v>CAMBIO N2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REPORTE!$D$2:$D$13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1D0-4278-A50A-279F6B1063CB}"/>
            </c:ext>
          </c:extLst>
        </c:ser>
        <c:ser>
          <c:idx val="4"/>
          <c:order val="4"/>
          <c:tx>
            <c:strRef>
              <c:f>REPORTE!$F$1</c:f>
              <c:strCache>
                <c:ptCount val="1"/>
                <c:pt idx="0">
                  <c:v>CAMBIO N3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</a:ln>
            <a:effectLst>
              <a:glow rad="139700">
                <a:schemeClr val="accent4">
                  <a:lumMod val="6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lumMod val="6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lumMod val="60000"/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REPORTE!$F$2:$F$13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1D0-4278-A50A-279F6B1063CB}"/>
            </c:ext>
          </c:extLst>
        </c:ser>
        <c:ser>
          <c:idx val="6"/>
          <c:order val="6"/>
          <c:tx>
            <c:strRef>
              <c:f>REPORTE!$H$1</c:f>
              <c:strCache>
                <c:ptCount val="1"/>
                <c:pt idx="0">
                  <c:v>A EQUIPO</c:v>
                </c:pt>
              </c:strCache>
            </c:strRef>
          </c:tx>
          <c:spPr>
            <a:ln w="22225" cap="rnd">
              <a:solidFill>
                <a:schemeClr val="accent2">
                  <a:lumMod val="80000"/>
                  <a:lumOff val="20000"/>
                </a:schemeClr>
              </a:solidFill>
            </a:ln>
            <a:effectLst>
              <a:glow rad="139700">
                <a:schemeClr val="accent2">
                  <a:lumMod val="80000"/>
                  <a:lumOff val="2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80000"/>
                  <a:lumOff val="2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lumMod val="80000"/>
                    <a:lumOff val="20000"/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REPORTE!$H$2:$H$13</c:f>
              <c:numCache>
                <c:formatCode>General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1D0-4278-A50A-279F6B1063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REPORTE!$B$1</c15:sqref>
                        </c15:formulaRef>
                      </c:ext>
                    </c:extLst>
                    <c:strCache>
                      <c:ptCount val="1"/>
                      <c:pt idx="0">
                        <c:v>T. ALUMNOS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</a:ln>
                  <a:effectLst>
                    <a:glow rad="139700">
                      <a:schemeClr val="accent2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2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14</c:v>
                      </c:pt>
                      <c:pt idx="1">
                        <c:v>35</c:v>
                      </c:pt>
                      <c:pt idx="2">
                        <c:v>34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C1D0-4278-A50A-279F6B1063CB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REPORTE!$C$1</c15:sqref>
                        </c15:formulaRef>
                      </c:ext>
                    </c:extLst>
                    <c:strCache>
                      <c:ptCount val="1"/>
                      <c:pt idx="0">
                        <c:v>TOTAL N1</c:v>
                      </c:pt>
                    </c:strCache>
                  </c:strRef>
                </c:tx>
                <c:spPr>
                  <a:ln w="22225" cap="rnd">
                    <a:solidFill>
                      <a:schemeClr val="accent4"/>
                    </a:solidFill>
                  </a:ln>
                  <a:effectLst>
                    <a:glow rad="139700">
                      <a:schemeClr val="accent4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REPORTE!$C$2:$C$13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</c:v>
                      </c:pt>
                      <c:pt idx="1">
                        <c:v>13</c:v>
                      </c:pt>
                      <c:pt idx="2">
                        <c:v>21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C1D0-4278-A50A-279F6B1063C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REPORTE!$E$1</c15:sqref>
                        </c15:formulaRef>
                      </c:ext>
                    </c:extLst>
                    <c:strCache>
                      <c:ptCount val="1"/>
                      <c:pt idx="0">
                        <c:v>TOTAL N2</c:v>
                      </c:pt>
                    </c:strCache>
                  </c:strRef>
                </c:tx>
                <c:spPr>
                  <a:ln w="22225" cap="rnd">
                    <a:solidFill>
                      <a:schemeClr val="accent2">
                        <a:lumMod val="60000"/>
                      </a:schemeClr>
                    </a:solidFill>
                  </a:ln>
                  <a:effectLst>
                    <a:glow rad="139700">
                      <a:schemeClr val="accent2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2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2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7</c:v>
                      </c:pt>
                      <c:pt idx="2">
                        <c:v>12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1D0-4278-A50A-279F6B1063C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REPORTE!$G$1</c15:sqref>
                        </c15:formulaRef>
                      </c:ext>
                    </c:extLst>
                    <c:strCache>
                      <c:ptCount val="1"/>
                      <c:pt idx="0">
                        <c:v>TOTAL N3</c:v>
                      </c:pt>
                    </c:strCache>
                  </c:strRef>
                </c:tx>
                <c:spPr>
                  <a:ln w="22225" cap="rnd">
                    <a:solidFill>
                      <a:schemeClr val="accent6">
                        <a:lumMod val="60000"/>
                      </a:schemeClr>
                    </a:solidFill>
                  </a:ln>
                  <a:effectLst>
                    <a:glow rad="139700">
                      <a:schemeClr val="accent6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6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6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REPORTE!$G$2:$G$13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1D0-4278-A50A-279F6B1063CB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REPORTE!$I$1</c15:sqref>
                        </c15:formulaRef>
                      </c:ext>
                    </c:extLst>
                    <c:strCache>
                      <c:ptCount val="1"/>
                      <c:pt idx="0">
                        <c:v>T.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</a:ln>
                  <a:effectLst>
                    <a:glow rad="139700">
                      <a:schemeClr val="accent4">
                        <a:lumMod val="80000"/>
                        <a:lumOff val="2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lumMod val="80000"/>
                        <a:lumOff val="2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lumMod val="80000"/>
                          <a:lumOff val="2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7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50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REPORTE!$I$2:$I$13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14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C1D0-4278-A50A-279F6B1063CB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EVALUADOS X 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REPORTE!$B$1</c:f>
              <c:strCache>
                <c:ptCount val="1"/>
                <c:pt idx="0">
                  <c:v>T. ALUMNOS</c:v>
                </c:pt>
              </c:strCache>
            </c:strRef>
          </c:tx>
          <c:spPr>
            <a:ln w="22225" cap="rnd">
              <a:solidFill>
                <a:schemeClr val="accent4">
                  <a:shade val="45000"/>
                </a:schemeClr>
              </a:solidFill>
            </a:ln>
            <a:effectLst>
              <a:glow rad="139700">
                <a:schemeClr val="accent4">
                  <a:shade val="45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shade val="45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hade val="45000"/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REPORTE!$B$2:$B$13</c:f>
              <c:numCache>
                <c:formatCode>General</c:formatCode>
                <c:ptCount val="12"/>
                <c:pt idx="0">
                  <c:v>14</c:v>
                </c:pt>
                <c:pt idx="1">
                  <c:v>35</c:v>
                </c:pt>
                <c:pt idx="2">
                  <c:v>34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71-4FB3-9541-C78E3BA9B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REPORTE!$C$1</c15:sqref>
                        </c15:formulaRef>
                      </c:ext>
                    </c:extLst>
                    <c:strCache>
                      <c:ptCount val="1"/>
                      <c:pt idx="0">
                        <c:v>TOTAL N1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61000"/>
                      </a:schemeClr>
                    </a:solidFill>
                  </a:ln>
                  <a:effectLst>
                    <a:glow rad="139700">
                      <a:schemeClr val="accent4">
                        <a:shade val="61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61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61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REPORTE!$C$2:$C$13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</c:v>
                      </c:pt>
                      <c:pt idx="1">
                        <c:v>13</c:v>
                      </c:pt>
                      <c:pt idx="2">
                        <c:v>21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8871-4FB3-9541-C78E3BA9BB3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REPORTE!$D$1</c15:sqref>
                        </c15:formulaRef>
                      </c:ext>
                    </c:extLst>
                    <c:strCache>
                      <c:ptCount val="1"/>
                      <c:pt idx="0">
                        <c:v>CAMBIO N2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76000"/>
                      </a:schemeClr>
                    </a:solidFill>
                  </a:ln>
                  <a:effectLst>
                    <a:glow rad="139700">
                      <a:schemeClr val="accent4">
                        <a:shade val="76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76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76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1</c:v>
                      </c:pt>
                      <c:pt idx="2">
                        <c:v>4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8871-4FB3-9541-C78E3BA9BB3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REPORTE!$E$1</c15:sqref>
                        </c15:formulaRef>
                      </c:ext>
                    </c:extLst>
                    <c:strCache>
                      <c:ptCount val="1"/>
                      <c:pt idx="0">
                        <c:v>TOTAL N2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92000"/>
                      </a:schemeClr>
                    </a:solidFill>
                  </a:ln>
                  <a:effectLst>
                    <a:glow rad="139700">
                      <a:schemeClr val="accent4">
                        <a:shade val="92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92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92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7</c:v>
                      </c:pt>
                      <c:pt idx="2">
                        <c:v>12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871-4FB3-9541-C78E3BA9BB3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REPORTE!$F$1</c15:sqref>
                        </c15:formulaRef>
                      </c:ext>
                    </c:extLst>
                    <c:strCache>
                      <c:ptCount val="1"/>
                      <c:pt idx="0">
                        <c:v>CAMBIO N3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93000"/>
                      </a:schemeClr>
                    </a:solidFill>
                  </a:ln>
                  <a:effectLst>
                    <a:glow rad="139700">
                      <a:schemeClr val="accent4">
                        <a:tint val="93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93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93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REPORTE!$F$2:$F$13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8871-4FB3-9541-C78E3BA9BB3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REPORTE!$G$1</c15:sqref>
                        </c15:formulaRef>
                      </c:ext>
                    </c:extLst>
                    <c:strCache>
                      <c:ptCount val="1"/>
                      <c:pt idx="0">
                        <c:v>TOTAL N3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77000"/>
                      </a:schemeClr>
                    </a:solidFill>
                  </a:ln>
                  <a:effectLst>
                    <a:glow rad="139700">
                      <a:schemeClr val="accent4">
                        <a:tint val="77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77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77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REPORTE!$G$2:$G$13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8871-4FB3-9541-C78E3BA9BB36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REPORTE!$H$1</c15:sqref>
                        </c15:formulaRef>
                      </c:ext>
                    </c:extLst>
                    <c:strCache>
                      <c:ptCount val="1"/>
                      <c:pt idx="0">
                        <c:v>A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62000"/>
                      </a:schemeClr>
                    </a:solidFill>
                  </a:ln>
                  <a:effectLst>
                    <a:glow rad="139700">
                      <a:schemeClr val="accent4">
                        <a:tint val="62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62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62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REPORTE!$H$2:$H$13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871-4FB3-9541-C78E3BA9BB36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REPORTE!$I$1</c15:sqref>
                        </c15:formulaRef>
                      </c:ext>
                    </c:extLst>
                    <c:strCache>
                      <c:ptCount val="1"/>
                      <c:pt idx="0">
                        <c:v>T.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46000"/>
                      </a:schemeClr>
                    </a:solidFill>
                  </a:ln>
                  <a:effectLst>
                    <a:glow rad="139700">
                      <a:schemeClr val="accent4">
                        <a:tint val="46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46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46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7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50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REPORTE!$I$2:$I$13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14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871-4FB3-9541-C78E3BA9BB36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Lit>
              <c:ptCount val="1"/>
              <c:pt idx="0">
                <c:v>febrero</c:v>
              </c:pt>
            </c:strLit>
          </c:cat>
          <c:val>
            <c:numLit>
              <c:formatCode>General</c:formatCode>
              <c:ptCount val="1"/>
              <c:pt idx="0">
                <c:v>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8-7490-4074-A3EE-C5CD8F327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8075071"/>
        <c:axId val="1538070751"/>
      </c:lineChart>
      <c:catAx>
        <c:axId val="1538075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8070751"/>
        <c:crosses val="autoZero"/>
        <c:auto val="1"/>
        <c:lblAlgn val="ctr"/>
        <c:lblOffset val="100"/>
        <c:noMultiLvlLbl val="0"/>
      </c:catAx>
      <c:valAx>
        <c:axId val="1538070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807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</xdr:colOff>
      <xdr:row>0</xdr:row>
      <xdr:rowOff>0</xdr:rowOff>
    </xdr:from>
    <xdr:to>
      <xdr:col>14</xdr:col>
      <xdr:colOff>632460</xdr:colOff>
      <xdr:row>13</xdr:row>
      <xdr:rowOff>11430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C9AF4C2-C7B7-A61C-7F57-747144E889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22860</xdr:colOff>
      <xdr:row>13</xdr:row>
      <xdr:rowOff>0</xdr:rowOff>
    </xdr:from>
    <xdr:to>
      <xdr:col>14</xdr:col>
      <xdr:colOff>632460</xdr:colOff>
      <xdr:row>26</xdr:row>
      <xdr:rowOff>11430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7D0F9FC-5CDA-4896-8975-63934896B8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358140</xdr:colOff>
      <xdr:row>13</xdr:row>
      <xdr:rowOff>0</xdr:rowOff>
    </xdr:from>
    <xdr:to>
      <xdr:col>9</xdr:col>
      <xdr:colOff>38100</xdr:colOff>
      <xdr:row>26</xdr:row>
      <xdr:rowOff>11430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C354A52-866B-4A6B-B057-D4C08A86FC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16</xdr:col>
      <xdr:colOff>7620</xdr:colOff>
      <xdr:row>0</xdr:row>
      <xdr:rowOff>68580</xdr:rowOff>
    </xdr:from>
    <xdr:to>
      <xdr:col>19</xdr:col>
      <xdr:colOff>480060</xdr:colOff>
      <xdr:row>12</xdr:row>
      <xdr:rowOff>135255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 DEL ALUMNO">
              <a:extLst>
                <a:ext uri="{FF2B5EF4-FFF2-40B4-BE49-F238E27FC236}">
                  <a16:creationId xmlns:a16="http://schemas.microsoft.com/office/drawing/2014/main" id="{855DF4E8-4489-23E0-966C-2C4AE32F8A7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ALUM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483340" y="68580"/>
              <a:ext cx="230124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541020</xdr:colOff>
      <xdr:row>14</xdr:row>
      <xdr:rowOff>133350</xdr:rowOff>
    </xdr:from>
    <xdr:to>
      <xdr:col>20</xdr:col>
      <xdr:colOff>243840</xdr:colOff>
      <xdr:row>29</xdr:row>
      <xdr:rowOff>133350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A3CA0CE-2EC2-DF77-3E82-856FEC7150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15</xdr:col>
      <xdr:colOff>571500</xdr:colOff>
      <xdr:row>1</xdr:row>
      <xdr:rowOff>91440</xdr:rowOff>
    </xdr:from>
    <xdr:to>
      <xdr:col>17</xdr:col>
      <xdr:colOff>487680</xdr:colOff>
      <xdr:row>13</xdr:row>
      <xdr:rowOff>158115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 DEL ALUMNO 1">
              <a:extLst>
                <a:ext uri="{FF2B5EF4-FFF2-40B4-BE49-F238E27FC236}">
                  <a16:creationId xmlns:a16="http://schemas.microsoft.com/office/drawing/2014/main" id="{3CD03CD9-52A0-2462-0953-F0092D5CE7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ALUM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02340" y="274320"/>
              <a:ext cx="177546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17</xdr:col>
      <xdr:colOff>495300</xdr:colOff>
      <xdr:row>1</xdr:row>
      <xdr:rowOff>76200</xdr:rowOff>
    </xdr:from>
    <xdr:to>
      <xdr:col>20</xdr:col>
      <xdr:colOff>106680</xdr:colOff>
      <xdr:row>13</xdr:row>
      <xdr:rowOff>142875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MES">
              <a:extLst>
                <a:ext uri="{FF2B5EF4-FFF2-40B4-BE49-F238E27FC236}">
                  <a16:creationId xmlns:a16="http://schemas.microsoft.com/office/drawing/2014/main" id="{DB4FE92D-8F2E-A817-F1DD-13EC27F3E79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885420" y="25908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ALUMNO" xr10:uid="{FDF56ED6-4F0B-42DC-BCB1-F516A432B58F}" sourceName="NOMBRE DEL ALUMNO">
  <extLst>
    <x:ext xmlns:x15="http://schemas.microsoft.com/office/spreadsheetml/2010/11/main" uri="{2F2917AC-EB37-4324-AD4E-5DD8C200BD13}">
      <x15:tableSlicerCache tableId="9" column="4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ALUMNO1" xr10:uid="{0157FABE-96B2-41FD-8E1E-82455ACAEEA6}" sourceName="NOMBRE DEL ALUMNO">
  <extLst>
    <x:ext xmlns:x15="http://schemas.microsoft.com/office/spreadsheetml/2010/11/main" uri="{2F2917AC-EB37-4324-AD4E-5DD8C200BD13}">
      <x15:tableSlicerCache tableId="10" column="4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0D568A69-7F75-4C8C-801E-255A1C4A81B8}" sourceName="MES">
  <extLst>
    <x:ext xmlns:x15="http://schemas.microsoft.com/office/spreadsheetml/2010/11/main" uri="{2F2917AC-EB37-4324-AD4E-5DD8C200BD13}">
      <x15:tableSlicerCache tableId="10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 DEL ALUMNO" xr10:uid="{492D05DF-6303-48CA-BD33-0DC2E81DBD00}" cache="SegmentaciónDeDatos_NOMBRE_DEL_ALUMNO" caption="NOMBRE DEL ALUMNO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 DEL ALUMNO 1" xr10:uid="{B37F484B-E1C3-4C82-A324-5DF11FFA3A57}" cache="SegmentaciónDeDatos_NOMBRE_DEL_ALUMNO1" caption="NOMBRE DEL ALUMNO" rowHeight="234950"/>
  <slicer name="MES" xr10:uid="{CE997D5B-6935-4BE7-8959-6D46C584C6A9}" cache="SegmentaciónDeDatos_MES" caption="MES" columnCount="2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B9236B4-6758-46F5-ACE3-4324EBF03AFC}" name="Tabla11" displayName="Tabla11" ref="A1:I13" totalsRowShown="0" headerRowDxfId="75" dataDxfId="74">
  <autoFilter ref="A1:I13" xr:uid="{DB9236B4-6758-46F5-ACE3-4324EBF03AF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45CE681-0F10-4F5F-ABE9-36AD6411F2F4}" name="MESES" dataDxfId="73"/>
    <tableColumn id="2" xr3:uid="{C45C8DBF-C350-4EAC-B340-B1433B532DF4}" name="T. ALUMNOS" dataDxfId="72">
      <calculatedColumnFormula>SUM(Tabla11[[#This Row],[TOTAL N1]],Tabla11[[#This Row],[TOTAL N2]],Tabla11[[#This Row],[TOTAL N3]],Tabla11[[#This Row],[T. EQUIPO]])</calculatedColumnFormula>
    </tableColumn>
    <tableColumn id="3" xr3:uid="{544D14A8-0150-477C-91EB-9C6A53287C61}" name="TOTAL N1" dataDxfId="71">
      <calculatedColumnFormula>COUNTIF('NIVEL 1'!$B:$B,REPORTE!A2)</calculatedColumnFormula>
    </tableColumn>
    <tableColumn id="4" xr3:uid="{B844FCB1-5911-4097-AC96-E45A77F4EADB}" name="CAMBIO N2" dataDxfId="70">
      <calculatedColumnFormula>COUNTIFS('NIVEL 1'!$B:$B,Tabla11[[#This Row],[MESES]],'NIVEL 1'!$N:$N,"CAMBIA A NIVEL 2")</calculatedColumnFormula>
    </tableColumn>
    <tableColumn id="6" xr3:uid="{09584C72-C135-48E6-BBF7-7505B75ADFE1}" name="TOTAL N2" dataDxfId="69">
      <calculatedColumnFormula>COUNTIF('NIVEL 2'!$B:$B,REPORTE!A2)</calculatedColumnFormula>
    </tableColumn>
    <tableColumn id="7" xr3:uid="{050D800C-3210-4B53-B962-4423AD8D7D44}" name="CAMBIO N3" dataDxfId="68">
      <calculatedColumnFormula>COUNTIFS('NIVEL 2'!$B:$B,Tabla11[[#This Row],[MESES]],'NIVEL 2'!$N:$N,"CAMBIA A NIVEL 3")</calculatedColumnFormula>
    </tableColumn>
    <tableColumn id="9" xr3:uid="{533A7FB5-2283-4C4B-B4C5-7CB89D8F9805}" name="TOTAL N3" dataDxfId="67">
      <calculatedColumnFormula>COUNTIF('NIVEL 3'!$B:$B,REPORTE!A2)</calculatedColumnFormula>
    </tableColumn>
    <tableColumn id="10" xr3:uid="{A1B4EC19-A475-44A6-8767-A1367A64797F}" name="A EQUIPO" dataDxfId="66">
      <calculatedColumnFormula>COUNTIFS('NIVEL 3'!$B:$B,Tabla11[[#This Row],[MESES]],'NIVEL 3'!$N:$N,"CAMBIA A EQUIPO")</calculatedColumnFormula>
    </tableColumn>
    <tableColumn id="12" xr3:uid="{BB0919BB-10F2-4412-9120-0EF7216850C1}" name="T. EQUIPO" dataDxfId="65">
      <calculatedColumnFormula>COUNTIF(EQUIPO!$B:$B,REPORTE!A2)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E1B38D2-F5E0-437E-A0C7-D4FAEDCDAD9F}" name="NIVEL_1" displayName="NIVEL_1" ref="A2:O46" totalsRowShown="0" headerRowDxfId="18" dataDxfId="17" tableBorderDxfId="16">
  <autoFilter ref="A2:O46" xr:uid="{AE1B38D2-F5E0-437E-A0C7-D4FAEDCDAD9F}"/>
  <sortState xmlns:xlrd2="http://schemas.microsoft.com/office/spreadsheetml/2017/richdata2" ref="A3:O46">
    <sortCondition ref="D3:D25"/>
    <sortCondition ref="A3:A25"/>
    <sortCondition ref="F3:F25"/>
  </sortState>
  <tableColumns count="15">
    <tableColumn id="15" xr3:uid="{06087576-FB0C-44ED-9CDF-C51BACC66F7B}" name="#" dataDxfId="15">
      <calculatedColumnFormula>MONTH(NIVEL_1[[#This Row],[Fecha de Evaluación]])</calculatedColumnFormula>
    </tableColumn>
    <tableColumn id="1" xr3:uid="{8EF9B412-985A-48AA-9792-B95947050FCB}" name="NIVEL" dataDxfId="14">
      <calculatedColumnFormula>IF(NIVEL_1[[#This Row],['#]]&gt;0,"NIVEL 1","")</calculatedColumnFormula>
    </tableColumn>
    <tableColumn id="2" xr3:uid="{2E9F9510-35A9-488E-B1DE-D74FC37EE91B}" name="MES" dataDxfId="13">
      <calculatedColumnFormula>TEXT(NIVEL_1[[#This Row],[Fecha de Evaluación]],"MMMM")</calculatedColumnFormula>
    </tableColumn>
    <tableColumn id="3" xr3:uid="{9F822B2A-0A90-4E18-A961-AC7ADB5E33D7}" name="Fecha de Evaluación" dataDxfId="12"/>
    <tableColumn id="4" xr3:uid="{F1A37849-EC75-4EFB-8761-8B4816148787}" name="NOMBRE DEL ALUMNO" dataDxfId="11"/>
    <tableColumn id="5" xr3:uid="{75F8F1A3-4C2C-48D8-BDA8-8EDA5D423C89}" name="DOCUMENTO" dataDxfId="10"/>
    <tableColumn id="6" xr3:uid="{C323AA94-0265-4893-9265-35B1038BBE77}" name="AMBIENTACION" dataDxfId="9"/>
    <tableColumn id="7" xr3:uid="{508CEACB-AA59-433A-AFBE-23B4CF5354AF}" name="FLOTACION DEFENSIVA" dataDxfId="8"/>
    <tableColumn id="8" xr3:uid="{596F9D83-7601-4A50-9A71-07FA546F1FDC}" name="PATADA CROL" dataDxfId="7"/>
    <tableColumn id="9" xr3:uid="{1386C268-2BDD-48F8-9EC7-CB447E9A76B9}" name="PADATA ESPALDA" dataDxfId="6"/>
    <tableColumn id="10" xr3:uid="{B76B36D4-2E2E-4645-8403-BA569067D6EB}" name="ENS. CROL" dataDxfId="5"/>
    <tableColumn id="11" xr3:uid="{A284663E-58C2-40EC-80B3-D1F680E97AF3}" name="ENS ESPALDA" dataDxfId="4"/>
    <tableColumn id="12" xr3:uid="{EA24CD10-C3F1-45CB-A915-9CB5EA29D8A1}" name="SALTO" dataDxfId="3"/>
    <tableColumn id="13" xr3:uid="{95D67B47-0B42-429F-9EC3-5161FF1E86D0}" name="Pase de Nivel 4,7 ptos" dataDxfId="1">
      <calculatedColumnFormula>IFERROR(AVERAGE('NIVEL 1'!G3:M3),"-")</calculatedColumnFormula>
    </tableColumn>
    <tableColumn id="14" xr3:uid="{20659D21-4226-4F1C-9913-990D646166B3}" name="Cambio de Nivel" dataDxfId="2">
      <calculatedColumnFormula array="1">_xlfn.IFS(NIVEL_1[[#This Row],[Pase de Nivel 4,7 ptos]]="-","-",NIVEL_1[[#This Row],[Pase de Nivel 4,7 ptos]]&gt;=4.7,"CAMBIA A NIVEL 2",NIVEL_1[[#This Row],[Pase de Nivel 4,7 ptos]]&lt;=4.7,"-")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3B83B8F-7030-4C6B-865D-1CEF5FF0A135}" name="NIVEL_2" displayName="NIVEL_2" ref="A2:O23" totalsRowShown="0" headerRowDxfId="64" dataDxfId="63">
  <autoFilter ref="A2:O23" xr:uid="{D3B83B8F-7030-4C6B-865D-1CEF5FF0A135}"/>
  <sortState xmlns:xlrd2="http://schemas.microsoft.com/office/spreadsheetml/2017/richdata2" ref="A3:O23">
    <sortCondition ref="A3:A4"/>
    <sortCondition ref="F3:F4"/>
  </sortState>
  <tableColumns count="15">
    <tableColumn id="15" xr3:uid="{09B76DB3-82BE-4C0B-B453-BF194A257258}" name="#" dataDxfId="62">
      <calculatedColumnFormula>MONTH(NIVEL_2[[#This Row],[Fecha de Evaluación]])</calculatedColumnFormula>
    </tableColumn>
    <tableColumn id="1" xr3:uid="{A30C7826-C605-4AD6-9BD1-976B3108B364}" name="NIVEL" dataDxfId="61">
      <calculatedColumnFormula>IF(NIVEL_2[[#This Row],['#]]&gt;0,"NIVEL 2","")</calculatedColumnFormula>
    </tableColumn>
    <tableColumn id="2" xr3:uid="{278C7F91-1379-491F-9B18-95B5FB0F5B4C}" name="MES" dataDxfId="60">
      <calculatedColumnFormula>TEXT(NIVEL_2[[#This Row],[Fecha de Evaluación]],"MMMM")</calculatedColumnFormula>
    </tableColumn>
    <tableColumn id="3" xr3:uid="{61734E93-B6EC-4BCE-81B8-694554146D51}" name="Fecha de Evaluación" dataDxfId="59"/>
    <tableColumn id="4" xr3:uid="{52287499-B96A-4EC4-9C46-4A9605C862D7}" name="NOMBRE DEL ALUMNO" dataDxfId="58"/>
    <tableColumn id="5" xr3:uid="{0ECA98BC-FB01-4F67-8A05-CB651A1C8B21}" name="DOCUMENTO" dataDxfId="57"/>
    <tableColumn id="6" xr3:uid="{4E959843-5A00-4667-9538-531D9390ABDE}" name="TECN ESTILO CROL" dataDxfId="56"/>
    <tableColumn id="7" xr3:uid="{D6B9A5DE-DA9B-48F2-BC77-F1A1DF233559}" name="TECN ESTILO ESPAL" dataDxfId="55"/>
    <tableColumn id="8" xr3:uid="{3674AFCF-043A-4668-A622-83DFE8ED6907}" name="ENSE EST PECHO" dataDxfId="54"/>
    <tableColumn id="9" xr3:uid="{4E82D7B2-52CF-420D-97A4-0A59EFC666C9}" name="ENSE EST MARIPOSA" dataDxfId="53"/>
    <tableColumn id="10" xr3:uid="{BF17361D-FC57-499E-9503-C2F33EB21C88}" name="INI SALIDA OLIMPICA" dataDxfId="52"/>
    <tableColumn id="11" xr3:uid="{8B1BEFD7-6FF5-425A-89DA-581562D0A38F}" name="50 m LIBRE" dataDxfId="51"/>
    <tableColumn id="12" xr3:uid="{991D9CFF-9F59-44B7-AA62-F62FE91F51E4}" name="INI VUELTA OLIMPICA" dataDxfId="50"/>
    <tableColumn id="13" xr3:uid="{1083E4EB-1DAF-41A3-B727-7BF532F1CB2C}" name="Pase de Nivel 4,7 ptos" dataDxfId="0">
      <calculatedColumnFormula>IFERROR(AVERAGE('NIVEL 2'!G3:M3),"-")</calculatedColumnFormula>
    </tableColumn>
    <tableColumn id="14" xr3:uid="{EA8CA3F6-4262-42A0-A47A-543052CC352E}" name="Cambio de Nivel" dataDxfId="49">
      <calculatedColumnFormula array="1">_xlfn.IFS(NIVEL_2[[#This Row],[Pase de Nivel 4,7 ptos]]="-","-",NIVEL_2[[#This Row],[Pase de Nivel 4,7 ptos]]&gt;=4.7,"CAMBIA A NIVEL 3",NIVEL_2[[#This Row],[Pase de Nivel 4,7 ptos]]&lt;=4.7,"-")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228A722-3B02-41C4-936F-4D7749F95EAB}" name="NIVEL_3" displayName="NIVEL_3" ref="A2:U6" totalsRowShown="0" headerRowDxfId="48" dataDxfId="47" tableBorderDxfId="46">
  <autoFilter ref="A2:U6" xr:uid="{1228A722-3B02-41C4-936F-4D7749F95EAB}"/>
  <sortState xmlns:xlrd2="http://schemas.microsoft.com/office/spreadsheetml/2017/richdata2" ref="A3:U4">
    <sortCondition ref="A3"/>
    <sortCondition ref="F3"/>
  </sortState>
  <tableColumns count="21">
    <tableColumn id="20" xr3:uid="{323FD556-7D50-469A-834D-326AE7F31F42}" name="#" dataDxfId="45">
      <calculatedColumnFormula>MONTH(NIVEL_3[[#This Row],[Fecha de Evaluación]])</calculatedColumnFormula>
    </tableColumn>
    <tableColumn id="21" xr3:uid="{10AF1518-13B3-40F9-A98E-94CD6E53DC3C}" name="NIVEL" dataDxfId="44">
      <calculatedColumnFormula>IF(NIVEL_3[[#This Row],['#]]&gt;0,"NIVEL 3","")</calculatedColumnFormula>
    </tableColumn>
    <tableColumn id="1" xr3:uid="{EB57D90D-D066-4E6D-A973-52FAC5B51F0B}" name="MES" dataDxfId="43">
      <calculatedColumnFormula>TEXT(NIVEL_3[[#This Row],[Fecha de Evaluación]],"MMMM")</calculatedColumnFormula>
    </tableColumn>
    <tableColumn id="2" xr3:uid="{0FF92161-361C-4203-A4D2-423DC120EB57}" name="Fecha de Evaluación" dataDxfId="42"/>
    <tableColumn id="3" xr3:uid="{717B9D19-3A86-46A2-91B1-EC86BF2E533D}" name="NOMBRE DEL ALUMNO" dataDxfId="41"/>
    <tableColumn id="4" xr3:uid="{C69B0C8E-7042-4239-BC38-5DE04F3B8AED}" name="DOCUMENTO" dataDxfId="40"/>
    <tableColumn id="5" xr3:uid="{1EE2B091-87B8-431E-9319-6E87870DA8A7}" name="100m CROL" dataDxfId="39"/>
    <tableColumn id="6" xr3:uid="{149128A8-27D9-491E-BD3D-385F53877A11}" name="VUELTA OLIMP. CROL" dataDxfId="38"/>
    <tableColumn id="7" xr3:uid="{124D09B0-F954-4F41-A77B-869A1BDB006E}" name="LLEGADA CROL" dataDxfId="37"/>
    <tableColumn id="8" xr3:uid="{350D03DD-5253-4CC2-BFB2-33A4611914A5}" name="SALIDA OLIMP. ESPALDA" dataDxfId="36"/>
    <tableColumn id="9" xr3:uid="{06F7D230-4D74-4E3E-8042-C13E6EA69D7C}" name="100m ESPALDA" dataDxfId="35"/>
    <tableColumn id="10" xr3:uid="{C7656A52-730D-4608-BED4-BE3F03A2F535}" name="VUELTA OLIMP. ESPALDA" dataDxfId="34"/>
    <tableColumn id="11" xr3:uid="{826AA493-8CDE-43B4-9D76-F71252CD2636}" name="LLEGADA ESPALDA" dataDxfId="33"/>
    <tableColumn id="12" xr3:uid="{EA88C99C-8AE3-41D5-88C9-4D1A205AE057}" name="SALIDA OLIMP. MARIPOSA" dataDxfId="32"/>
    <tableColumn id="13" xr3:uid="{6446B914-DD25-438C-985E-231095C15D34}" name="25m MARIPOSA" dataDxfId="31"/>
    <tableColumn id="14" xr3:uid="{ADF9866C-0662-48A4-BD02-64795FE4507E}" name="LLEGADA MARIPOSA" dataDxfId="30"/>
    <tableColumn id="15" xr3:uid="{B9BF3AB6-845A-4D24-8DE1-E6713B1B6A8E}" name="SALIDA OLIMP. PECHO" dataDxfId="29"/>
    <tableColumn id="16" xr3:uid="{66B4F0A1-9475-49BD-BDF4-157D5AF07759}" name="25m PECHO" dataDxfId="28"/>
    <tableColumn id="17" xr3:uid="{C4433153-B84C-45D5-9DAA-18C80B367D88}" name="LLEGADA PECHO" dataDxfId="27"/>
    <tableColumn id="18" xr3:uid="{3A6F3CA6-C52F-40C3-9659-D551D3CB8905}" name="Pase de Nivel 4,9 ptos" dataDxfId="26">
      <calculatedColumnFormula>IFERROR(AVERAGE(G3:S3),"-")</calculatedColumnFormula>
    </tableColumn>
    <tableColumn id="19" xr3:uid="{A6317C45-4DC3-4C83-B4AE-F03D89924519}" name="Cambio de Nivel" dataDxfId="25">
      <calculatedColumnFormula array="1">_xlfn.IFS(NIVEL_3[[#This Row],[Pase de Nivel 4,9 ptos]]="-","-",NIVEL_3[[#This Row],[Pase de Nivel 4,9 ptos]]&gt;=4.9,"CAMBIA A EQUIPO",NIVEL_3[[#This Row],[Pase de Nivel 4,9 ptos]]&lt;=4.9,"-")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5681B1A-EC8A-41B9-A9DC-57C6B186CE75}" name="NIVEL_213" displayName="NIVEL_213" ref="A2:D138" totalsRowShown="0" headerRowDxfId="24" dataDxfId="23">
  <autoFilter ref="A2:D138" xr:uid="{C5681B1A-EC8A-41B9-A9DC-57C6B186CE75}"/>
  <sortState xmlns:xlrd2="http://schemas.microsoft.com/office/spreadsheetml/2017/richdata2" ref="A3:D33">
    <sortCondition ref="A3"/>
    <sortCondition ref="D3"/>
  </sortState>
  <tableColumns count="4">
    <tableColumn id="5" xr3:uid="{6BE10E98-8110-4B32-B324-956C2A939720}" name="N°" dataDxfId="22"/>
    <tableColumn id="1" xr3:uid="{47EC1D0D-C132-491F-995F-583089EB3DC6}" name="NIVEL" dataDxfId="21"/>
    <tableColumn id="2" xr3:uid="{E3EBB2A9-A349-4F03-8A3C-7C71DFE91475}" name="MES" dataDxfId="20"/>
    <tableColumn id="4" xr3:uid="{15956556-3BA8-42CE-A623-63D4505D4189}" name="NOMBRE DEL ALUMNO" dataDxfId="19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510B-662C-4B68-8770-DE372FF29377}">
  <dimension ref="A1:J13"/>
  <sheetViews>
    <sheetView workbookViewId="0">
      <selection activeCell="B17" sqref="B17"/>
    </sheetView>
  </sheetViews>
  <sheetFormatPr baseColWidth="10" defaultColWidth="10.6640625" defaultRowHeight="14.4" x14ac:dyDescent="0.3"/>
  <cols>
    <col min="2" max="2" width="11.6640625" customWidth="1"/>
    <col min="4" max="4" width="12.5546875" customWidth="1"/>
    <col min="6" max="6" width="12.5546875" customWidth="1"/>
  </cols>
  <sheetData>
    <row r="1" spans="1:10" x14ac:dyDescent="0.3">
      <c r="A1" s="17" t="s">
        <v>49</v>
      </c>
      <c r="B1" s="17" t="s">
        <v>57</v>
      </c>
      <c r="C1" s="17" t="s">
        <v>50</v>
      </c>
      <c r="D1" s="17" t="s">
        <v>51</v>
      </c>
      <c r="E1" s="17" t="s">
        <v>52</v>
      </c>
      <c r="F1" s="17" t="s">
        <v>53</v>
      </c>
      <c r="G1" s="17" t="s">
        <v>54</v>
      </c>
      <c r="H1" s="17" t="s">
        <v>55</v>
      </c>
      <c r="I1" s="17" t="s">
        <v>56</v>
      </c>
      <c r="J1" s="16"/>
    </row>
    <row r="2" spans="1:10" x14ac:dyDescent="0.3">
      <c r="A2" s="16" t="s">
        <v>35</v>
      </c>
      <c r="B2" s="17">
        <f>SUM(Tabla11[[#This Row],[TOTAL N1]],Tabla11[[#This Row],[TOTAL N2]],Tabla11[[#This Row],[TOTAL N3]],Tabla11[[#This Row],[T. EQUIPO]])</f>
        <v>14</v>
      </c>
      <c r="C2" s="17">
        <f>COUNTIF('NIVEL 1'!$C:$C,REPORTE!A2)</f>
        <v>10</v>
      </c>
      <c r="D2" s="17">
        <f>COUNTIFS('NIVEL 1'!$C:$C,Tabla11[[#This Row],[MESES]],'NIVEL 1'!$O:$O,"CAMBIA A NIVEL 2")</f>
        <v>1</v>
      </c>
      <c r="E2" s="17">
        <f>COUNTIF('NIVEL 2'!$C:$C,REPORTE!A2)</f>
        <v>2</v>
      </c>
      <c r="F2" s="17">
        <f>COUNTIFS('NIVEL 2'!$C:$C,Tabla11[[#This Row],[MESES]],'NIVEL 2'!$O:$O,"CAMBIA A NIVEL 3")</f>
        <v>0</v>
      </c>
      <c r="G2" s="17">
        <f>COUNTIF('NIVEL 3'!$C:$C,REPORTE!A2)</f>
        <v>2</v>
      </c>
      <c r="H2" s="17">
        <f>COUNTIFS('NIVEL 3'!$C:$C,Tabla11[[#This Row],[MESES]],'NIVEL 3'!$U:$U,"CAMBIA A EQUIPO")</f>
        <v>2</v>
      </c>
      <c r="I2" s="17">
        <f>COUNTIF(EQUIPO!$C:$C,REPORTE!A2)</f>
        <v>0</v>
      </c>
    </row>
    <row r="3" spans="1:10" x14ac:dyDescent="0.3">
      <c r="A3" s="16" t="s">
        <v>36</v>
      </c>
      <c r="B3" s="17">
        <f>SUM(Tabla11[[#This Row],[TOTAL N1]],Tabla11[[#This Row],[TOTAL N2]],Tabla11[[#This Row],[TOTAL N3]],Tabla11[[#This Row],[T. EQUIPO]])</f>
        <v>35</v>
      </c>
      <c r="C3" s="17">
        <f>COUNTIF('NIVEL 1'!$C:$C,REPORTE!A3)</f>
        <v>13</v>
      </c>
      <c r="D3" s="17">
        <f>COUNTIFS('NIVEL 1'!$C:$C,Tabla11[[#This Row],[MESES]],'NIVEL 1'!$O:$O,"CAMBIA A NIVEL 2")</f>
        <v>1</v>
      </c>
      <c r="E3" s="17">
        <f>COUNTIF('NIVEL 2'!$C:$C,REPORTE!A3)</f>
        <v>7</v>
      </c>
      <c r="F3" s="17">
        <f>COUNTIFS('NIVEL 2'!$C:$C,Tabla11[[#This Row],[MESES]],'NIVEL 2'!$O:$O,"CAMBIA A NIVEL 3")</f>
        <v>0</v>
      </c>
      <c r="G3" s="17">
        <f>COUNTIF('NIVEL 3'!$C:$C,REPORTE!A3)</f>
        <v>1</v>
      </c>
      <c r="H3" s="17">
        <f>COUNTIFS('NIVEL 3'!$C:$C,Tabla11[[#This Row],[MESES]],'NIVEL 3'!$U:$U,"CAMBIA A EQUIPO")</f>
        <v>0</v>
      </c>
      <c r="I3" s="17">
        <f>COUNTIF(EQUIPO!$C:$C,REPORTE!A3)</f>
        <v>14</v>
      </c>
    </row>
    <row r="4" spans="1:10" x14ac:dyDescent="0.3">
      <c r="A4" s="16" t="s">
        <v>37</v>
      </c>
      <c r="B4" s="17">
        <f>SUM(Tabla11[[#This Row],[TOTAL N1]],Tabla11[[#This Row],[TOTAL N2]],Tabla11[[#This Row],[TOTAL N3]],Tabla11[[#This Row],[T. EQUIPO]])</f>
        <v>34</v>
      </c>
      <c r="C4" s="17">
        <f>COUNTIF('NIVEL 1'!$C:$C,REPORTE!A4)</f>
        <v>21</v>
      </c>
      <c r="D4" s="17">
        <f>COUNTIFS('NIVEL 1'!$C:$C,Tabla11[[#This Row],[MESES]],'NIVEL 1'!$O:$O,"CAMBIA A NIVEL 2")</f>
        <v>4</v>
      </c>
      <c r="E4" s="17">
        <f>COUNTIF('NIVEL 2'!$C:$C,REPORTE!A4)</f>
        <v>12</v>
      </c>
      <c r="F4" s="17">
        <f>COUNTIFS('NIVEL 2'!$C:$C,Tabla11[[#This Row],[MESES]],'NIVEL 2'!$O:$O,"CAMBIA A NIVEL 3")</f>
        <v>0</v>
      </c>
      <c r="G4" s="17">
        <f>COUNTIF('NIVEL 3'!$C:$C,REPORTE!A4)</f>
        <v>1</v>
      </c>
      <c r="H4" s="17">
        <f>COUNTIFS('NIVEL 3'!$C:$C,Tabla11[[#This Row],[MESES]],'NIVEL 3'!$U:$U,"CAMBIA A EQUIPO")</f>
        <v>0</v>
      </c>
      <c r="I4" s="17">
        <f>COUNTIF(EQUIPO!$C:$C,REPORTE!A4)</f>
        <v>0</v>
      </c>
    </row>
    <row r="5" spans="1:10" x14ac:dyDescent="0.3">
      <c r="A5" s="16" t="s">
        <v>38</v>
      </c>
      <c r="B5" s="17">
        <f>SUM(Tabla11[[#This Row],[TOTAL N1]],Tabla11[[#This Row],[TOTAL N2]],Tabla11[[#This Row],[TOTAL N3]],Tabla11[[#This Row],[T. EQUIPO]])</f>
        <v>0</v>
      </c>
      <c r="C5" s="17">
        <f>COUNTIF('NIVEL 1'!$C:$C,REPORTE!A5)</f>
        <v>0</v>
      </c>
      <c r="D5" s="17">
        <f>COUNTIFS('NIVEL 1'!$C:$C,Tabla11[[#This Row],[MESES]],'NIVEL 1'!$O:$O,"CAMBIA A NIVEL 2")</f>
        <v>0</v>
      </c>
      <c r="E5" s="17">
        <f>COUNTIF('NIVEL 2'!$C:$C,REPORTE!A5)</f>
        <v>0</v>
      </c>
      <c r="F5" s="17">
        <f>COUNTIFS('NIVEL 2'!$C:$C,Tabla11[[#This Row],[MESES]],'NIVEL 2'!$O:$O,"CAMBIA A NIVEL 3")</f>
        <v>0</v>
      </c>
      <c r="G5" s="17">
        <f>COUNTIF('NIVEL 3'!$C:$C,REPORTE!A5)</f>
        <v>0</v>
      </c>
      <c r="H5" s="17">
        <f>COUNTIFS('NIVEL 3'!$C:$C,Tabla11[[#This Row],[MESES]],'NIVEL 3'!$U:$U,"CAMBIA A EQUIPO")</f>
        <v>0</v>
      </c>
      <c r="I5" s="17">
        <f>COUNTIF(EQUIPO!$C:$C,REPORTE!A5)</f>
        <v>0</v>
      </c>
    </row>
    <row r="6" spans="1:10" x14ac:dyDescent="0.3">
      <c r="A6" s="16" t="s">
        <v>39</v>
      </c>
      <c r="B6" s="17">
        <f>SUM(Tabla11[[#This Row],[TOTAL N1]],Tabla11[[#This Row],[TOTAL N2]],Tabla11[[#This Row],[TOTAL N3]],Tabla11[[#This Row],[T. EQUIPO]])</f>
        <v>0</v>
      </c>
      <c r="C6" s="17">
        <f>COUNTIF('NIVEL 1'!$C:$C,REPORTE!A6)</f>
        <v>0</v>
      </c>
      <c r="D6" s="17">
        <f>COUNTIFS('NIVEL 1'!$C:$C,Tabla11[[#This Row],[MESES]],'NIVEL 1'!$O:$O,"CAMBIA A NIVEL 2")</f>
        <v>0</v>
      </c>
      <c r="E6" s="17">
        <f>COUNTIF('NIVEL 2'!$C:$C,REPORTE!A6)</f>
        <v>0</v>
      </c>
      <c r="F6" s="17">
        <f>COUNTIFS('NIVEL 2'!$C:$C,Tabla11[[#This Row],[MESES]],'NIVEL 2'!$O:$O,"CAMBIA A NIVEL 3")</f>
        <v>0</v>
      </c>
      <c r="G6" s="17">
        <f>COUNTIF('NIVEL 3'!$C:$C,REPORTE!A6)</f>
        <v>0</v>
      </c>
      <c r="H6" s="17">
        <f>COUNTIFS('NIVEL 3'!$C:$C,Tabla11[[#This Row],[MESES]],'NIVEL 3'!$U:$U,"CAMBIA A EQUIPO")</f>
        <v>0</v>
      </c>
      <c r="I6" s="17">
        <f>COUNTIF(EQUIPO!$C:$C,REPORTE!A6)</f>
        <v>0</v>
      </c>
    </row>
    <row r="7" spans="1:10" x14ac:dyDescent="0.3">
      <c r="A7" s="16" t="s">
        <v>40</v>
      </c>
      <c r="B7" s="17">
        <f>SUM(Tabla11[[#This Row],[TOTAL N1]],Tabla11[[#This Row],[TOTAL N2]],Tabla11[[#This Row],[TOTAL N3]],Tabla11[[#This Row],[T. EQUIPO]])</f>
        <v>0</v>
      </c>
      <c r="C7" s="17">
        <f>COUNTIF('NIVEL 1'!$C:$C,REPORTE!A7)</f>
        <v>0</v>
      </c>
      <c r="D7" s="17">
        <f>COUNTIFS('NIVEL 1'!$C:$C,Tabla11[[#This Row],[MESES]],'NIVEL 1'!$O:$O,"CAMBIA A NIVEL 2")</f>
        <v>0</v>
      </c>
      <c r="E7" s="17">
        <f>COUNTIF('NIVEL 2'!$C:$C,REPORTE!A7)</f>
        <v>0</v>
      </c>
      <c r="F7" s="17">
        <f>COUNTIFS('NIVEL 2'!$C:$C,Tabla11[[#This Row],[MESES]],'NIVEL 2'!$O:$O,"CAMBIA A NIVEL 3")</f>
        <v>0</v>
      </c>
      <c r="G7" s="17">
        <f>COUNTIF('NIVEL 3'!$C:$C,REPORTE!A7)</f>
        <v>0</v>
      </c>
      <c r="H7" s="17">
        <f>COUNTIFS('NIVEL 3'!$C:$C,Tabla11[[#This Row],[MESES]],'NIVEL 3'!$U:$U,"CAMBIA A EQUIPO")</f>
        <v>0</v>
      </c>
      <c r="I7" s="17">
        <f>COUNTIF(EQUIPO!$C:$C,REPORTE!A7)</f>
        <v>0</v>
      </c>
    </row>
    <row r="8" spans="1:10" x14ac:dyDescent="0.3">
      <c r="A8" s="16" t="s">
        <v>41</v>
      </c>
      <c r="B8" s="17">
        <f>SUM(Tabla11[[#This Row],[TOTAL N1]],Tabla11[[#This Row],[TOTAL N2]],Tabla11[[#This Row],[TOTAL N3]],Tabla11[[#This Row],[T. EQUIPO]])</f>
        <v>0</v>
      </c>
      <c r="C8" s="17">
        <f>COUNTIF('NIVEL 1'!$C:$C,REPORTE!A8)</f>
        <v>0</v>
      </c>
      <c r="D8" s="17">
        <f>COUNTIFS('NIVEL 1'!$C:$C,Tabla11[[#This Row],[MESES]],'NIVEL 1'!$O:$O,"CAMBIA A NIVEL 2")</f>
        <v>0</v>
      </c>
      <c r="E8" s="17">
        <f>COUNTIF('NIVEL 2'!$C:$C,REPORTE!A8)</f>
        <v>0</v>
      </c>
      <c r="F8" s="17">
        <f>COUNTIFS('NIVEL 2'!$C:$C,Tabla11[[#This Row],[MESES]],'NIVEL 2'!$O:$O,"CAMBIA A NIVEL 3")</f>
        <v>0</v>
      </c>
      <c r="G8" s="17">
        <f>COUNTIF('NIVEL 3'!$C:$C,REPORTE!A8)</f>
        <v>0</v>
      </c>
      <c r="H8" s="17">
        <f>COUNTIFS('NIVEL 3'!$C:$C,Tabla11[[#This Row],[MESES]],'NIVEL 3'!$U:$U,"CAMBIA A EQUIPO")</f>
        <v>0</v>
      </c>
      <c r="I8" s="17">
        <f>COUNTIF(EQUIPO!$C:$C,REPORTE!A8)</f>
        <v>0</v>
      </c>
    </row>
    <row r="9" spans="1:10" x14ac:dyDescent="0.3">
      <c r="A9" s="16" t="s">
        <v>42</v>
      </c>
      <c r="B9" s="17">
        <f>SUM(Tabla11[[#This Row],[TOTAL N1]],Tabla11[[#This Row],[TOTAL N2]],Tabla11[[#This Row],[TOTAL N3]],Tabla11[[#This Row],[T. EQUIPO]])</f>
        <v>0</v>
      </c>
      <c r="C9" s="17">
        <f>COUNTIF('NIVEL 1'!$C:$C,REPORTE!A9)</f>
        <v>0</v>
      </c>
      <c r="D9" s="17">
        <f>COUNTIFS('NIVEL 1'!$C:$C,Tabla11[[#This Row],[MESES]],'NIVEL 1'!$O:$O,"CAMBIA A NIVEL 2")</f>
        <v>0</v>
      </c>
      <c r="E9" s="17">
        <f>COUNTIF('NIVEL 2'!$C:$C,REPORTE!A9)</f>
        <v>0</v>
      </c>
      <c r="F9" s="17">
        <f>COUNTIFS('NIVEL 2'!$C:$C,Tabla11[[#This Row],[MESES]],'NIVEL 2'!$O:$O,"CAMBIA A NIVEL 3")</f>
        <v>0</v>
      </c>
      <c r="G9" s="17">
        <f>COUNTIF('NIVEL 3'!$C:$C,REPORTE!A9)</f>
        <v>0</v>
      </c>
      <c r="H9" s="17">
        <f>COUNTIFS('NIVEL 3'!$C:$C,Tabla11[[#This Row],[MESES]],'NIVEL 3'!$U:$U,"CAMBIA A EQUIPO")</f>
        <v>0</v>
      </c>
      <c r="I9" s="17">
        <f>COUNTIF(EQUIPO!$C:$C,REPORTE!A9)</f>
        <v>0</v>
      </c>
    </row>
    <row r="10" spans="1:10" x14ac:dyDescent="0.3">
      <c r="A10" s="16" t="s">
        <v>43</v>
      </c>
      <c r="B10" s="17">
        <f>SUM(Tabla11[[#This Row],[TOTAL N1]],Tabla11[[#This Row],[TOTAL N2]],Tabla11[[#This Row],[TOTAL N3]],Tabla11[[#This Row],[T. EQUIPO]])</f>
        <v>0</v>
      </c>
      <c r="C10" s="17">
        <f>COUNTIF('NIVEL 1'!$C:$C,REPORTE!A10)</f>
        <v>0</v>
      </c>
      <c r="D10" s="17">
        <f>COUNTIFS('NIVEL 1'!$C:$C,Tabla11[[#This Row],[MESES]],'NIVEL 1'!$O:$O,"CAMBIA A NIVEL 2")</f>
        <v>0</v>
      </c>
      <c r="E10" s="17">
        <f>COUNTIF('NIVEL 2'!$C:$C,REPORTE!A10)</f>
        <v>0</v>
      </c>
      <c r="F10" s="17">
        <f>COUNTIFS('NIVEL 2'!$C:$C,Tabla11[[#This Row],[MESES]],'NIVEL 2'!$O:$O,"CAMBIA A NIVEL 3")</f>
        <v>0</v>
      </c>
      <c r="G10" s="17">
        <f>COUNTIF('NIVEL 3'!$C:$C,REPORTE!A10)</f>
        <v>0</v>
      </c>
      <c r="H10" s="17">
        <f>COUNTIFS('NIVEL 3'!$C:$C,Tabla11[[#This Row],[MESES]],'NIVEL 3'!$U:$U,"CAMBIA A EQUIPO")</f>
        <v>0</v>
      </c>
      <c r="I10" s="17">
        <f>COUNTIF(EQUIPO!$C:$C,REPORTE!A10)</f>
        <v>0</v>
      </c>
    </row>
    <row r="11" spans="1:10" x14ac:dyDescent="0.3">
      <c r="A11" s="16" t="s">
        <v>44</v>
      </c>
      <c r="B11" s="17">
        <f>SUM(Tabla11[[#This Row],[TOTAL N1]],Tabla11[[#This Row],[TOTAL N2]],Tabla11[[#This Row],[TOTAL N3]],Tabla11[[#This Row],[T. EQUIPO]])</f>
        <v>0</v>
      </c>
      <c r="C11" s="17">
        <f>COUNTIF('NIVEL 1'!$C:$C,REPORTE!A11)</f>
        <v>0</v>
      </c>
      <c r="D11" s="17">
        <f>COUNTIFS('NIVEL 1'!$C:$C,Tabla11[[#This Row],[MESES]],'NIVEL 1'!$O:$O,"CAMBIA A NIVEL 2")</f>
        <v>0</v>
      </c>
      <c r="E11" s="17">
        <f>COUNTIF('NIVEL 2'!$C:$C,REPORTE!A11)</f>
        <v>0</v>
      </c>
      <c r="F11" s="17">
        <f>COUNTIFS('NIVEL 2'!$C:$C,Tabla11[[#This Row],[MESES]],'NIVEL 2'!$O:$O,"CAMBIA A NIVEL 3")</f>
        <v>0</v>
      </c>
      <c r="G11" s="17">
        <f>COUNTIF('NIVEL 3'!$C:$C,REPORTE!A11)</f>
        <v>0</v>
      </c>
      <c r="H11" s="17">
        <f>COUNTIFS('NIVEL 3'!$C:$C,Tabla11[[#This Row],[MESES]],'NIVEL 3'!$U:$U,"CAMBIA A EQUIPO")</f>
        <v>0</v>
      </c>
      <c r="I11" s="17">
        <f>COUNTIF(EQUIPO!$C:$C,REPORTE!A11)</f>
        <v>0</v>
      </c>
    </row>
    <row r="12" spans="1:10" x14ac:dyDescent="0.3">
      <c r="A12" s="16" t="s">
        <v>45</v>
      </c>
      <c r="B12" s="17">
        <f>SUM(Tabla11[[#This Row],[TOTAL N1]],Tabla11[[#This Row],[TOTAL N2]],Tabla11[[#This Row],[TOTAL N3]],Tabla11[[#This Row],[T. EQUIPO]])</f>
        <v>0</v>
      </c>
      <c r="C12" s="17">
        <f>COUNTIF('NIVEL 1'!$C:$C,REPORTE!A12)</f>
        <v>0</v>
      </c>
      <c r="D12" s="17">
        <f>COUNTIFS('NIVEL 1'!$C:$C,Tabla11[[#This Row],[MESES]],'NIVEL 1'!$O:$O,"CAMBIA A NIVEL 2")</f>
        <v>0</v>
      </c>
      <c r="E12" s="17">
        <f>COUNTIF('NIVEL 2'!$C:$C,REPORTE!A12)</f>
        <v>0</v>
      </c>
      <c r="F12" s="17">
        <f>COUNTIFS('NIVEL 2'!$C:$C,Tabla11[[#This Row],[MESES]],'NIVEL 2'!$O:$O,"CAMBIA A NIVEL 3")</f>
        <v>0</v>
      </c>
      <c r="G12" s="17">
        <f>COUNTIF('NIVEL 3'!$C:$C,REPORTE!A12)</f>
        <v>0</v>
      </c>
      <c r="H12" s="17">
        <f>COUNTIFS('NIVEL 3'!$C:$C,Tabla11[[#This Row],[MESES]],'NIVEL 3'!$U:$U,"CAMBIA A EQUIPO")</f>
        <v>0</v>
      </c>
      <c r="I12" s="17">
        <f>COUNTIF(EQUIPO!$C:$C,REPORTE!A12)</f>
        <v>0</v>
      </c>
    </row>
    <row r="13" spans="1:10" x14ac:dyDescent="0.3">
      <c r="A13" s="16" t="s">
        <v>46</v>
      </c>
      <c r="B13" s="17">
        <f>SUM(Tabla11[[#This Row],[TOTAL N1]],Tabla11[[#This Row],[TOTAL N2]],Tabla11[[#This Row],[TOTAL N3]],Tabla11[[#This Row],[T. EQUIPO]])</f>
        <v>0</v>
      </c>
      <c r="C13" s="17">
        <f>COUNTIF('NIVEL 1'!$C:$C,REPORTE!A13)</f>
        <v>0</v>
      </c>
      <c r="D13" s="17">
        <f>COUNTIFS('NIVEL 1'!$C:$C,Tabla11[[#This Row],[MESES]],'NIVEL 1'!$O:$O,"CAMBIA A NIVEL 2")</f>
        <v>0</v>
      </c>
      <c r="E13" s="17">
        <f>COUNTIF('NIVEL 2'!$C:$C,REPORTE!A13)</f>
        <v>0</v>
      </c>
      <c r="F13" s="17">
        <f>COUNTIFS('NIVEL 2'!$C:$C,Tabla11[[#This Row],[MESES]],'NIVEL 2'!$O:$O,"CAMBIA A NIVEL 3")</f>
        <v>0</v>
      </c>
      <c r="G13" s="17">
        <f>COUNTIF('NIVEL 3'!$C:$C,REPORTE!A13)</f>
        <v>0</v>
      </c>
      <c r="H13" s="17">
        <f>COUNTIFS('NIVEL 3'!$C:$C,Tabla11[[#This Row],[MESES]],'NIVEL 3'!$U:$U,"CAMBIA A EQUIPO")</f>
        <v>0</v>
      </c>
      <c r="I13" s="17">
        <f>COUNTIF(EQUIPO!$C:$C,REPORTE!A13)</f>
        <v>0</v>
      </c>
    </row>
  </sheetData>
  <phoneticPr fontId="7" type="noConversion"/>
  <pageMargins left="0.7" right="0.7" top="0.75" bottom="0.75" header="0.3" footer="0.3"/>
  <ignoredErrors>
    <ignoredError sqref="C2:G10 C12:G13 C11:G11 I11 I2:I10 I12:I13 H2:H13" calculatedColumn="1"/>
  </ignoredErrors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46"/>
  <sheetViews>
    <sheetView workbookViewId="0">
      <pane ySplit="2" topLeftCell="A21" activePane="bottomLeft" state="frozenSplit"/>
      <selection activeCell="F38" sqref="F38:U41"/>
      <selection pane="bottomLeft" activeCell="I40" sqref="I40"/>
    </sheetView>
  </sheetViews>
  <sheetFormatPr baseColWidth="10" defaultColWidth="8.88671875" defaultRowHeight="14.4" x14ac:dyDescent="0.3"/>
  <cols>
    <col min="1" max="1" width="7.33203125" customWidth="1"/>
    <col min="2" max="2" width="5.6640625" style="10" customWidth="1"/>
    <col min="3" max="3" width="7.6640625" style="3" bestFit="1" customWidth="1"/>
    <col min="4" max="4" width="17.109375" bestFit="1" customWidth="1"/>
    <col min="5" max="5" width="33.44140625" style="1" bestFit="1" customWidth="1"/>
    <col min="6" max="6" width="11" style="1" customWidth="1"/>
    <col min="7" max="7" width="7.44140625" style="1" customWidth="1"/>
    <col min="8" max="8" width="9" style="1" customWidth="1"/>
    <col min="9" max="9" width="8.5546875" style="1" customWidth="1"/>
    <col min="10" max="10" width="8.33203125" style="1" customWidth="1"/>
    <col min="11" max="11" width="7.88671875" style="1" customWidth="1"/>
    <col min="12" max="13" width="6.33203125" style="1" customWidth="1"/>
    <col min="14" max="14" width="6.44140625" style="1" customWidth="1"/>
    <col min="15" max="15" width="16.109375" bestFit="1" customWidth="1"/>
  </cols>
  <sheetData>
    <row r="1" spans="1:15" x14ac:dyDescent="0.3">
      <c r="E1" s="25" t="s">
        <v>48</v>
      </c>
      <c r="F1" s="33" t="s">
        <v>33</v>
      </c>
      <c r="G1" s="33"/>
      <c r="H1" s="33"/>
      <c r="I1" s="33"/>
      <c r="J1" s="33"/>
      <c r="K1" s="33"/>
      <c r="L1" s="33"/>
      <c r="M1" s="33"/>
      <c r="N1" s="33"/>
      <c r="O1" s="34"/>
    </row>
    <row r="2" spans="1:15" ht="30.6" x14ac:dyDescent="0.3">
      <c r="A2" s="7" t="s">
        <v>61</v>
      </c>
      <c r="B2" s="7" t="s">
        <v>47</v>
      </c>
      <c r="C2" s="7" t="s">
        <v>34</v>
      </c>
      <c r="D2" s="7" t="s">
        <v>11</v>
      </c>
      <c r="E2" s="9" t="s">
        <v>0</v>
      </c>
      <c r="F2" s="8" t="s">
        <v>1</v>
      </c>
      <c r="G2" s="8" t="s">
        <v>2</v>
      </c>
      <c r="H2" s="8" t="s">
        <v>3</v>
      </c>
      <c r="I2" s="8" t="s">
        <v>4</v>
      </c>
      <c r="J2" s="8" t="s">
        <v>5</v>
      </c>
      <c r="K2" s="8" t="s">
        <v>6</v>
      </c>
      <c r="L2" s="8" t="s">
        <v>7</v>
      </c>
      <c r="M2" s="8" t="s">
        <v>8</v>
      </c>
      <c r="N2" s="8" t="s">
        <v>9</v>
      </c>
      <c r="O2" s="9" t="s">
        <v>10</v>
      </c>
    </row>
    <row r="3" spans="1:15" x14ac:dyDescent="0.3">
      <c r="A3" s="29">
        <f>MONTH(NIVEL_1[[#This Row],[Fecha de Evaluación]])</f>
        <v>1</v>
      </c>
      <c r="B3" s="12" t="str">
        <f>IF(NIVEL_1[[#This Row],['#]]&gt;0,"NIVEL 1","")</f>
        <v>NIVEL 1</v>
      </c>
      <c r="C3" s="12" t="str">
        <f>TEXT(NIVEL_1[[#This Row],[Fecha de Evaluación]],"MMMM")</f>
        <v>enero</v>
      </c>
      <c r="D3" s="3">
        <v>46048</v>
      </c>
      <c r="E3" s="20" t="s">
        <v>69</v>
      </c>
      <c r="F3" s="1">
        <v>22668785</v>
      </c>
      <c r="G3" s="1">
        <v>5</v>
      </c>
      <c r="H3" s="1">
        <v>5</v>
      </c>
      <c r="I3" s="1">
        <v>3</v>
      </c>
      <c r="J3" s="1">
        <v>3</v>
      </c>
      <c r="K3" s="1">
        <v>3</v>
      </c>
      <c r="L3" s="1">
        <v>3</v>
      </c>
      <c r="M3" s="1">
        <v>5</v>
      </c>
      <c r="N3" s="19">
        <f>IFERROR(AVERAGE('NIVEL 1'!G3:M3),"-")</f>
        <v>3.8571428571428572</v>
      </c>
      <c r="O3" s="18" t="str" cm="1">
        <f t="array" ref="O3">_xlfn.IFS(NIVEL_1[[#This Row],[Pase de Nivel 4,7 ptos]]="-","-",NIVEL_1[[#This Row],[Pase de Nivel 4,7 ptos]]&gt;=4.7,"CAMBIA A NIVEL 2",NIVEL_1[[#This Row],[Pase de Nivel 4,7 ptos]]&lt;=4.7,"-")</f>
        <v>-</v>
      </c>
    </row>
    <row r="4" spans="1:15" x14ac:dyDescent="0.3">
      <c r="A4" s="29">
        <f>MONTH(NIVEL_1[[#This Row],[Fecha de Evaluación]])</f>
        <v>1</v>
      </c>
      <c r="B4" s="12" t="str">
        <f>IF(NIVEL_1[[#This Row],['#]]&gt;0,"NIVEL 1","")</f>
        <v>NIVEL 1</v>
      </c>
      <c r="C4" s="12" t="str">
        <f>TEXT(NIVEL_1[[#This Row],[Fecha de Evaluación]],"MMMM")</f>
        <v>enero</v>
      </c>
      <c r="D4" s="3">
        <v>46048</v>
      </c>
      <c r="E4" s="20" t="s">
        <v>62</v>
      </c>
      <c r="F4" s="1">
        <v>1035003918</v>
      </c>
      <c r="G4" s="1">
        <v>5</v>
      </c>
      <c r="H4" s="1">
        <v>5</v>
      </c>
      <c r="I4" s="1">
        <v>5</v>
      </c>
      <c r="J4" s="1">
        <v>5</v>
      </c>
      <c r="K4" s="1">
        <v>5</v>
      </c>
      <c r="L4" s="1">
        <v>4</v>
      </c>
      <c r="M4" s="1">
        <v>5</v>
      </c>
      <c r="N4" s="19">
        <f>IFERROR(AVERAGE('NIVEL 1'!G4:M4),"-")</f>
        <v>4.8571428571428568</v>
      </c>
      <c r="O4" s="18" t="str" cm="1">
        <f t="array" ref="O4">_xlfn.IFS(NIVEL_1[[#This Row],[Pase de Nivel 4,7 ptos]]="-","-",NIVEL_1[[#This Row],[Pase de Nivel 4,7 ptos]]&gt;=4.7,"CAMBIA A NIVEL 2",NIVEL_1[[#This Row],[Pase de Nivel 4,7 ptos]]&lt;=4.7,"-")</f>
        <v>CAMBIA A NIVEL 2</v>
      </c>
    </row>
    <row r="5" spans="1:15" x14ac:dyDescent="0.3">
      <c r="A5" s="29">
        <f>MONTH(NIVEL_1[[#This Row],[Fecha de Evaluación]])</f>
        <v>1</v>
      </c>
      <c r="B5" s="12" t="str">
        <f>IF(NIVEL_1[[#This Row],['#]]&gt;0,"NIVEL 1","")</f>
        <v>NIVEL 1</v>
      </c>
      <c r="C5" s="12" t="str">
        <f>TEXT(NIVEL_1[[#This Row],[Fecha de Evaluación]],"MMMM")</f>
        <v>enero</v>
      </c>
      <c r="D5" s="3">
        <v>46048</v>
      </c>
      <c r="E5" s="20" t="s">
        <v>64</v>
      </c>
      <c r="F5" s="1">
        <v>1035017030</v>
      </c>
      <c r="G5" s="1">
        <v>5</v>
      </c>
      <c r="H5" s="1">
        <v>4</v>
      </c>
      <c r="I5" s="1">
        <v>3</v>
      </c>
      <c r="J5" s="1">
        <v>2</v>
      </c>
      <c r="K5" s="1">
        <v>2</v>
      </c>
      <c r="L5" s="1">
        <v>2</v>
      </c>
      <c r="M5" s="1">
        <v>4</v>
      </c>
      <c r="N5" s="19">
        <f>IFERROR(AVERAGE('NIVEL 1'!G5:M5),"-")</f>
        <v>3.1428571428571428</v>
      </c>
      <c r="O5" s="18" t="str" cm="1">
        <f t="array" ref="O5">_xlfn.IFS(NIVEL_1[[#This Row],[Pase de Nivel 4,7 ptos]]="-","-",NIVEL_1[[#This Row],[Pase de Nivel 4,7 ptos]]&gt;=4.7,"CAMBIA A NIVEL 2",NIVEL_1[[#This Row],[Pase de Nivel 4,7 ptos]]&lt;=4.7,"-")</f>
        <v>-</v>
      </c>
    </row>
    <row r="6" spans="1:15" x14ac:dyDescent="0.3">
      <c r="A6" s="29">
        <f>MONTH(NIVEL_1[[#This Row],[Fecha de Evaluación]])</f>
        <v>1</v>
      </c>
      <c r="B6" s="12" t="str">
        <f>IF(NIVEL_1[[#This Row],['#]]&gt;0,"NIVEL 1","")</f>
        <v>NIVEL 1</v>
      </c>
      <c r="C6" s="12" t="str">
        <f>TEXT(NIVEL_1[[#This Row],[Fecha de Evaluación]],"MMMM")</f>
        <v>enero</v>
      </c>
      <c r="D6" s="3">
        <v>46048</v>
      </c>
      <c r="E6" s="20" t="s">
        <v>70</v>
      </c>
      <c r="F6" s="1">
        <v>1062546526</v>
      </c>
      <c r="G6" s="1">
        <v>5</v>
      </c>
      <c r="H6" s="1">
        <v>2</v>
      </c>
      <c r="I6" s="1">
        <v>2</v>
      </c>
      <c r="J6" s="1">
        <v>2</v>
      </c>
      <c r="K6" s="1">
        <v>1</v>
      </c>
      <c r="L6" s="1">
        <v>1</v>
      </c>
      <c r="M6" s="1">
        <v>3</v>
      </c>
      <c r="N6" s="19">
        <f>IFERROR(AVERAGE('NIVEL 1'!G6:M6),"-")</f>
        <v>2.2857142857142856</v>
      </c>
      <c r="O6" s="18" t="str" cm="1">
        <f t="array" ref="O6">_xlfn.IFS(NIVEL_1[[#This Row],[Pase de Nivel 4,7 ptos]]="-","-",NIVEL_1[[#This Row],[Pase de Nivel 4,7 ptos]]&gt;=4.7,"CAMBIA A NIVEL 2",NIVEL_1[[#This Row],[Pase de Nivel 4,7 ptos]]&lt;=4.7,"-")</f>
        <v>-</v>
      </c>
    </row>
    <row r="7" spans="1:15" x14ac:dyDescent="0.3">
      <c r="A7" s="29">
        <f>MONTH(NIVEL_1[[#This Row],[Fecha de Evaluación]])</f>
        <v>1</v>
      </c>
      <c r="B7" s="12" t="str">
        <f>IF(NIVEL_1[[#This Row],['#]]&gt;0,"NIVEL 1","")</f>
        <v>NIVEL 1</v>
      </c>
      <c r="C7" s="12" t="str">
        <f>TEXT(NIVEL_1[[#This Row],[Fecha de Evaluación]],"MMMM")</f>
        <v>enero</v>
      </c>
      <c r="D7" s="3">
        <v>46048</v>
      </c>
      <c r="E7" s="20" t="s">
        <v>68</v>
      </c>
      <c r="F7" s="1">
        <v>1062966144</v>
      </c>
      <c r="G7" s="1">
        <v>5</v>
      </c>
      <c r="H7" s="1">
        <v>5</v>
      </c>
      <c r="I7" s="1">
        <v>3</v>
      </c>
      <c r="J7" s="1">
        <v>3</v>
      </c>
      <c r="K7" s="1">
        <v>3</v>
      </c>
      <c r="L7" s="1">
        <v>2</v>
      </c>
      <c r="M7" s="1">
        <v>4</v>
      </c>
      <c r="N7" s="19">
        <f>IFERROR(AVERAGE('NIVEL 1'!G7:M7),"-")</f>
        <v>3.5714285714285716</v>
      </c>
      <c r="O7" s="18" t="str" cm="1">
        <f t="array" ref="O7">_xlfn.IFS(NIVEL_1[[#This Row],[Pase de Nivel 4,7 ptos]]="-","-",NIVEL_1[[#This Row],[Pase de Nivel 4,7 ptos]]&gt;=4.7,"CAMBIA A NIVEL 2",NIVEL_1[[#This Row],[Pase de Nivel 4,7 ptos]]&lt;=4.7,"-")</f>
        <v>-</v>
      </c>
    </row>
    <row r="8" spans="1:15" x14ac:dyDescent="0.3">
      <c r="A8" s="29">
        <f>MONTH(NIVEL_1[[#This Row],[Fecha de Evaluación]])</f>
        <v>1</v>
      </c>
      <c r="B8" s="12" t="str">
        <f>IF(NIVEL_1[[#This Row],['#]]&gt;0,"NIVEL 1","")</f>
        <v>NIVEL 1</v>
      </c>
      <c r="C8" s="12" t="str">
        <f>TEXT(NIVEL_1[[#This Row],[Fecha de Evaluación]],"MMMM")</f>
        <v>enero</v>
      </c>
      <c r="D8" s="3">
        <v>46048</v>
      </c>
      <c r="E8" s="20" t="s">
        <v>65</v>
      </c>
      <c r="F8" s="1">
        <v>1067859838</v>
      </c>
      <c r="G8" s="1">
        <v>5</v>
      </c>
      <c r="H8" s="1">
        <v>5</v>
      </c>
      <c r="I8" s="1">
        <v>5</v>
      </c>
      <c r="J8" s="1">
        <v>5</v>
      </c>
      <c r="K8" s="1">
        <v>5</v>
      </c>
      <c r="L8" s="1">
        <v>5</v>
      </c>
      <c r="M8" s="1">
        <v>2</v>
      </c>
      <c r="N8" s="19">
        <f>IFERROR(AVERAGE('NIVEL 1'!G8:M8),"-")</f>
        <v>4.5714285714285712</v>
      </c>
      <c r="O8" s="18" t="str" cm="1">
        <f t="array" ref="O8">_xlfn.IFS(NIVEL_1[[#This Row],[Pase de Nivel 4,7 ptos]]="-","-",NIVEL_1[[#This Row],[Pase de Nivel 4,7 ptos]]&gt;=4.7,"CAMBIA A NIVEL 2",NIVEL_1[[#This Row],[Pase de Nivel 4,7 ptos]]&lt;=4.7,"-")</f>
        <v>-</v>
      </c>
    </row>
    <row r="9" spans="1:15" x14ac:dyDescent="0.3">
      <c r="A9" s="29">
        <f>MONTH(NIVEL_1[[#This Row],[Fecha de Evaluación]])</f>
        <v>1</v>
      </c>
      <c r="B9" s="12" t="str">
        <f>IF(NIVEL_1[[#This Row],['#]]&gt;0,"NIVEL 1","")</f>
        <v>NIVEL 1</v>
      </c>
      <c r="C9" s="12" t="str">
        <f>TEXT(NIVEL_1[[#This Row],[Fecha de Evaluación]],"MMMM")</f>
        <v>enero</v>
      </c>
      <c r="D9" s="3">
        <v>46048</v>
      </c>
      <c r="E9" s="20" t="s">
        <v>67</v>
      </c>
      <c r="F9" s="1">
        <v>1067945529</v>
      </c>
      <c r="G9" s="1">
        <v>5</v>
      </c>
      <c r="H9" s="1">
        <v>5</v>
      </c>
      <c r="I9" s="1">
        <v>3</v>
      </c>
      <c r="J9" s="1">
        <v>3</v>
      </c>
      <c r="K9" s="1">
        <v>3</v>
      </c>
      <c r="L9" s="1">
        <v>3</v>
      </c>
      <c r="M9" s="1">
        <v>5</v>
      </c>
      <c r="N9" s="19">
        <f>IFERROR(AVERAGE('NIVEL 1'!G9:M9),"-")</f>
        <v>3.8571428571428572</v>
      </c>
      <c r="O9" s="18" t="str" cm="1">
        <f t="array" ref="O9">_xlfn.IFS(NIVEL_1[[#This Row],[Pase de Nivel 4,7 ptos]]="-","-",NIVEL_1[[#This Row],[Pase de Nivel 4,7 ptos]]&gt;=4.7,"CAMBIA A NIVEL 2",NIVEL_1[[#This Row],[Pase de Nivel 4,7 ptos]]&lt;=4.7,"-")</f>
        <v>-</v>
      </c>
    </row>
    <row r="10" spans="1:15" x14ac:dyDescent="0.3">
      <c r="A10" s="29">
        <f>MONTH(NIVEL_1[[#This Row],[Fecha de Evaluación]])</f>
        <v>1</v>
      </c>
      <c r="B10" s="12" t="str">
        <f>IF(NIVEL_1[[#This Row],['#]]&gt;0,"NIVEL 1","")</f>
        <v>NIVEL 1</v>
      </c>
      <c r="C10" s="12" t="str">
        <f>TEXT(NIVEL_1[[#This Row],[Fecha de Evaluación]],"MMMM")</f>
        <v>enero</v>
      </c>
      <c r="D10" s="3">
        <v>46048</v>
      </c>
      <c r="E10" s="20" t="s">
        <v>66</v>
      </c>
      <c r="F10" s="1">
        <v>1068439110</v>
      </c>
      <c r="G10" s="1">
        <v>5</v>
      </c>
      <c r="H10" s="1">
        <v>5</v>
      </c>
      <c r="I10" s="1">
        <v>3</v>
      </c>
      <c r="J10" s="1">
        <v>3</v>
      </c>
      <c r="K10" s="1">
        <v>2</v>
      </c>
      <c r="L10" s="1">
        <v>2</v>
      </c>
      <c r="M10" s="1">
        <v>5</v>
      </c>
      <c r="N10" s="19">
        <f>IFERROR(AVERAGE('NIVEL 1'!G10:M10),"-")</f>
        <v>3.5714285714285716</v>
      </c>
      <c r="O10" s="18" t="str" cm="1">
        <f t="array" ref="O10">_xlfn.IFS(NIVEL_1[[#This Row],[Pase de Nivel 4,7 ptos]]="-","-",NIVEL_1[[#This Row],[Pase de Nivel 4,7 ptos]]&gt;=4.7,"CAMBIA A NIVEL 2",NIVEL_1[[#This Row],[Pase de Nivel 4,7 ptos]]&lt;=4.7,"-")</f>
        <v>-</v>
      </c>
    </row>
    <row r="11" spans="1:15" x14ac:dyDescent="0.3">
      <c r="A11" s="29">
        <f>MONTH(NIVEL_1[[#This Row],[Fecha de Evaluación]])</f>
        <v>1</v>
      </c>
      <c r="B11" s="12" t="str">
        <f>IF(NIVEL_1[[#This Row],['#]]&gt;0,"NIVEL 1","")</f>
        <v>NIVEL 1</v>
      </c>
      <c r="C11" s="12" t="str">
        <f>TEXT(NIVEL_1[[#This Row],[Fecha de Evaluación]],"MMMM")</f>
        <v>enero</v>
      </c>
      <c r="D11" s="3">
        <v>46048</v>
      </c>
      <c r="E11" s="20" t="s">
        <v>63</v>
      </c>
      <c r="F11" s="1">
        <v>1073824962</v>
      </c>
      <c r="G11" s="1">
        <v>5</v>
      </c>
      <c r="H11" s="1">
        <v>5</v>
      </c>
      <c r="I11" s="1">
        <v>3</v>
      </c>
      <c r="J11" s="1">
        <v>3</v>
      </c>
      <c r="K11" s="1">
        <v>3</v>
      </c>
      <c r="L11" s="1">
        <v>3</v>
      </c>
      <c r="M11" s="1">
        <v>5</v>
      </c>
      <c r="N11" s="19">
        <f>IFERROR(AVERAGE('NIVEL 1'!G11:M11),"-")</f>
        <v>3.8571428571428572</v>
      </c>
      <c r="O11" s="18" t="str" cm="1">
        <f t="array" ref="O11">_xlfn.IFS(NIVEL_1[[#This Row],[Pase de Nivel 4,7 ptos]]="-","-",NIVEL_1[[#This Row],[Pase de Nivel 4,7 ptos]]&gt;=4.7,"CAMBIA A NIVEL 2",NIVEL_1[[#This Row],[Pase de Nivel 4,7 ptos]]&lt;=4.7,"-")</f>
        <v>-</v>
      </c>
    </row>
    <row r="12" spans="1:15" x14ac:dyDescent="0.3">
      <c r="A12" s="29">
        <f>MONTH(NIVEL_1[[#This Row],[Fecha de Evaluación]])</f>
        <v>1</v>
      </c>
      <c r="B12" s="12" t="str">
        <f>IF(NIVEL_1[[#This Row],['#]]&gt;0,"NIVEL 1","")</f>
        <v>NIVEL 1</v>
      </c>
      <c r="C12" s="12" t="str">
        <f>TEXT(NIVEL_1[[#This Row],[Fecha de Evaluación]],"MMMM")</f>
        <v>enero</v>
      </c>
      <c r="D12" s="3">
        <v>46053</v>
      </c>
      <c r="E12" s="20" t="s">
        <v>71</v>
      </c>
      <c r="F12" s="1">
        <v>1067956606</v>
      </c>
      <c r="G12" s="1">
        <v>5</v>
      </c>
      <c r="H12" s="1">
        <v>5</v>
      </c>
      <c r="I12" s="1">
        <v>3</v>
      </c>
      <c r="J12" s="1">
        <v>3</v>
      </c>
      <c r="K12" s="1">
        <v>3</v>
      </c>
      <c r="L12" s="1">
        <v>3</v>
      </c>
      <c r="M12" s="1">
        <v>5</v>
      </c>
      <c r="N12" s="19">
        <f>IFERROR(AVERAGE('NIVEL 1'!G12:M12),"-")</f>
        <v>3.8571428571428572</v>
      </c>
      <c r="O12" s="18" t="str" cm="1">
        <f t="array" ref="O12">_xlfn.IFS(NIVEL_1[[#This Row],[Pase de Nivel 4,7 ptos]]="-","-",NIVEL_1[[#This Row],[Pase de Nivel 4,7 ptos]]&gt;=4.7,"CAMBIA A NIVEL 2",NIVEL_1[[#This Row],[Pase de Nivel 4,7 ptos]]&lt;=4.7,"-")</f>
        <v>-</v>
      </c>
    </row>
    <row r="13" spans="1:15" x14ac:dyDescent="0.3">
      <c r="A13" s="29">
        <f>MONTH(NIVEL_1[[#This Row],[Fecha de Evaluación]])</f>
        <v>2</v>
      </c>
      <c r="B13" s="12" t="str">
        <f>IF(NIVEL_1[[#This Row],['#]]&gt;0,"NIVEL 1","")</f>
        <v>NIVEL 1</v>
      </c>
      <c r="C13" s="12" t="str">
        <f>TEXT(NIVEL_1[[#This Row],[Fecha de Evaluación]],"MMMM")</f>
        <v>febrero</v>
      </c>
      <c r="D13" s="3">
        <v>46080</v>
      </c>
      <c r="E13" s="20" t="s">
        <v>64</v>
      </c>
      <c r="F13" s="1">
        <v>1035017030</v>
      </c>
      <c r="G13" s="1">
        <v>5</v>
      </c>
      <c r="H13" s="1">
        <v>5</v>
      </c>
      <c r="I13" s="1">
        <v>4</v>
      </c>
      <c r="J13" s="1">
        <v>2</v>
      </c>
      <c r="K13" s="1">
        <v>3</v>
      </c>
      <c r="L13" s="1">
        <v>2</v>
      </c>
      <c r="M13" s="1">
        <v>5</v>
      </c>
      <c r="N13" s="19">
        <f>IFERROR(AVERAGE('NIVEL 1'!G13:M13),"-")</f>
        <v>3.7142857142857144</v>
      </c>
      <c r="O13" s="18" t="str" cm="1">
        <f t="array" ref="O13">_xlfn.IFS(NIVEL_1[[#This Row],[Pase de Nivel 4,7 ptos]]="-","-",NIVEL_1[[#This Row],[Pase de Nivel 4,7 ptos]]&gt;=4.7,"CAMBIA A NIVEL 2",NIVEL_1[[#This Row],[Pase de Nivel 4,7 ptos]]&lt;=4.7,"-")</f>
        <v>-</v>
      </c>
    </row>
    <row r="14" spans="1:15" x14ac:dyDescent="0.3">
      <c r="A14" s="29">
        <f>MONTH(NIVEL_1[[#This Row],[Fecha de Evaluación]])</f>
        <v>2</v>
      </c>
      <c r="B14" s="12" t="str">
        <f>IF(NIVEL_1[[#This Row],['#]]&gt;0,"NIVEL 1","")</f>
        <v>NIVEL 1</v>
      </c>
      <c r="C14" s="12" t="str">
        <f>TEXT(NIVEL_1[[#This Row],[Fecha de Evaluación]],"MMMM")</f>
        <v>febrero</v>
      </c>
      <c r="D14" s="3">
        <v>46080</v>
      </c>
      <c r="E14" s="20" t="s">
        <v>79</v>
      </c>
      <c r="F14" s="1">
        <v>1062540875</v>
      </c>
      <c r="G14" s="1">
        <v>5</v>
      </c>
      <c r="H14" s="1">
        <v>4</v>
      </c>
      <c r="I14" s="1">
        <v>3</v>
      </c>
      <c r="J14" s="1">
        <v>2</v>
      </c>
      <c r="K14" s="1">
        <v>2</v>
      </c>
      <c r="L14" s="1">
        <v>2</v>
      </c>
      <c r="M14" s="1">
        <v>3</v>
      </c>
      <c r="N14" s="19">
        <f>IFERROR(AVERAGE('NIVEL 1'!G14:M14),"-")</f>
        <v>3</v>
      </c>
      <c r="O14" s="18" t="str" cm="1">
        <f t="array" ref="O14">_xlfn.IFS(NIVEL_1[[#This Row],[Pase de Nivel 4,7 ptos]]="-","-",NIVEL_1[[#This Row],[Pase de Nivel 4,7 ptos]]&gt;=4.7,"CAMBIA A NIVEL 2",NIVEL_1[[#This Row],[Pase de Nivel 4,7 ptos]]&lt;=4.7,"-")</f>
        <v>-</v>
      </c>
    </row>
    <row r="15" spans="1:15" x14ac:dyDescent="0.3">
      <c r="A15" s="29">
        <f>MONTH(NIVEL_1[[#This Row],[Fecha de Evaluación]])</f>
        <v>2</v>
      </c>
      <c r="B15" s="12" t="str">
        <f>IF(NIVEL_1[[#This Row],['#]]&gt;0,"NIVEL 1","")</f>
        <v>NIVEL 1</v>
      </c>
      <c r="C15" s="12" t="str">
        <f>TEXT(NIVEL_1[[#This Row],[Fecha de Evaluación]],"MMMM")</f>
        <v>febrero</v>
      </c>
      <c r="D15" s="3">
        <v>46080</v>
      </c>
      <c r="E15" s="20" t="s">
        <v>70</v>
      </c>
      <c r="F15" s="1">
        <v>1062546526</v>
      </c>
      <c r="G15" s="1">
        <v>5</v>
      </c>
      <c r="H15" s="1">
        <v>3</v>
      </c>
      <c r="I15" s="1">
        <v>3</v>
      </c>
      <c r="J15" s="1">
        <v>3</v>
      </c>
      <c r="K15" s="1">
        <v>2</v>
      </c>
      <c r="L15" s="1">
        <v>2</v>
      </c>
      <c r="M15" s="1">
        <v>4</v>
      </c>
      <c r="N15" s="19">
        <f>IFERROR(AVERAGE('NIVEL 1'!G15:M15),"-")</f>
        <v>3.1428571428571428</v>
      </c>
      <c r="O15" s="18" t="str" cm="1">
        <f t="array" ref="O15">_xlfn.IFS(NIVEL_1[[#This Row],[Pase de Nivel 4,7 ptos]]="-","-",NIVEL_1[[#This Row],[Pase de Nivel 4,7 ptos]]&gt;=4.7,"CAMBIA A NIVEL 2",NIVEL_1[[#This Row],[Pase de Nivel 4,7 ptos]]&lt;=4.7,"-")</f>
        <v>-</v>
      </c>
    </row>
    <row r="16" spans="1:15" x14ac:dyDescent="0.3">
      <c r="A16" s="29">
        <f>MONTH(NIVEL_1[[#This Row],[Fecha de Evaluación]])</f>
        <v>2</v>
      </c>
      <c r="B16" s="12" t="str">
        <f>IF(NIVEL_1[[#This Row],['#]]&gt;0,"NIVEL 1","")</f>
        <v>NIVEL 1</v>
      </c>
      <c r="C16" s="12" t="str">
        <f>TEXT(NIVEL_1[[#This Row],[Fecha de Evaluación]],"MMMM")</f>
        <v>febrero</v>
      </c>
      <c r="D16" s="3">
        <v>46080</v>
      </c>
      <c r="E16" s="20" t="s">
        <v>68</v>
      </c>
      <c r="F16" s="1">
        <v>1062966144</v>
      </c>
      <c r="G16" s="1">
        <v>5</v>
      </c>
      <c r="H16" s="1">
        <v>5</v>
      </c>
      <c r="I16" s="1">
        <v>4</v>
      </c>
      <c r="J16" s="1">
        <v>4</v>
      </c>
      <c r="K16" s="1">
        <v>3</v>
      </c>
      <c r="L16" s="1">
        <v>3</v>
      </c>
      <c r="M16" s="1">
        <v>5</v>
      </c>
      <c r="N16" s="19">
        <f>IFERROR(AVERAGE('NIVEL 1'!G16:M16),"-")</f>
        <v>4.1428571428571432</v>
      </c>
      <c r="O16" s="18" t="str" cm="1">
        <f t="array" ref="O16">_xlfn.IFS(NIVEL_1[[#This Row],[Pase de Nivel 4,7 ptos]]="-","-",NIVEL_1[[#This Row],[Pase de Nivel 4,7 ptos]]&gt;=4.7,"CAMBIA A NIVEL 2",NIVEL_1[[#This Row],[Pase de Nivel 4,7 ptos]]&lt;=4.7,"-")</f>
        <v>-</v>
      </c>
    </row>
    <row r="17" spans="1:15" x14ac:dyDescent="0.3">
      <c r="A17" s="29">
        <f>MONTH(NIVEL_1[[#This Row],[Fecha de Evaluación]])</f>
        <v>2</v>
      </c>
      <c r="B17" s="12" t="str">
        <f>IF(NIVEL_1[[#This Row],['#]]&gt;0,"NIVEL 1","")</f>
        <v>NIVEL 1</v>
      </c>
      <c r="C17" s="12" t="str">
        <f>TEXT(NIVEL_1[[#This Row],[Fecha de Evaluación]],"MMMM")</f>
        <v>febrero</v>
      </c>
      <c r="D17" s="3">
        <v>46080</v>
      </c>
      <c r="E17" s="20" t="s">
        <v>65</v>
      </c>
      <c r="F17" s="1">
        <v>1067859838</v>
      </c>
      <c r="G17" s="1">
        <v>5</v>
      </c>
      <c r="H17" s="1">
        <v>5</v>
      </c>
      <c r="I17" s="1">
        <v>5</v>
      </c>
      <c r="J17" s="1">
        <v>5</v>
      </c>
      <c r="K17" s="1">
        <v>5</v>
      </c>
      <c r="L17" s="1">
        <v>5</v>
      </c>
      <c r="M17" s="1">
        <v>4</v>
      </c>
      <c r="N17" s="19">
        <f>IFERROR(AVERAGE('NIVEL 1'!G17:M17),"-")</f>
        <v>4.8571428571428568</v>
      </c>
      <c r="O17" s="18" t="str" cm="1">
        <f t="array" ref="O17">_xlfn.IFS(NIVEL_1[[#This Row],[Pase de Nivel 4,7 ptos]]="-","-",NIVEL_1[[#This Row],[Pase de Nivel 4,7 ptos]]&gt;=4.7,"CAMBIA A NIVEL 2",NIVEL_1[[#This Row],[Pase de Nivel 4,7 ptos]]&lt;=4.7,"-")</f>
        <v>CAMBIA A NIVEL 2</v>
      </c>
    </row>
    <row r="18" spans="1:15" x14ac:dyDescent="0.3">
      <c r="A18" s="29">
        <f>MONTH(NIVEL_1[[#This Row],[Fecha de Evaluación]])</f>
        <v>2</v>
      </c>
      <c r="B18" s="12" t="str">
        <f>IF(NIVEL_1[[#This Row],['#]]&gt;0,"NIVEL 1","")</f>
        <v>NIVEL 1</v>
      </c>
      <c r="C18" s="12" t="str">
        <f>TEXT(NIVEL_1[[#This Row],[Fecha de Evaluación]],"MMMM")</f>
        <v>febrero</v>
      </c>
      <c r="D18" s="3">
        <v>46080</v>
      </c>
      <c r="E18" s="20" t="s">
        <v>67</v>
      </c>
      <c r="F18" s="1">
        <v>1067945529</v>
      </c>
      <c r="G18" s="1">
        <v>5</v>
      </c>
      <c r="H18" s="1">
        <v>5</v>
      </c>
      <c r="I18" s="1">
        <v>4</v>
      </c>
      <c r="J18" s="1">
        <v>4</v>
      </c>
      <c r="K18" s="1">
        <v>4</v>
      </c>
      <c r="L18" s="1">
        <v>4</v>
      </c>
      <c r="M18" s="1">
        <v>5</v>
      </c>
      <c r="N18" s="19">
        <f>IFERROR(AVERAGE('NIVEL 1'!G18:M18),"-")</f>
        <v>4.4285714285714288</v>
      </c>
      <c r="O18" s="18" t="str" cm="1">
        <f t="array" ref="O18">_xlfn.IFS(NIVEL_1[[#This Row],[Pase de Nivel 4,7 ptos]]="-","-",NIVEL_1[[#This Row],[Pase de Nivel 4,7 ptos]]&gt;=4.7,"CAMBIA A NIVEL 2",NIVEL_1[[#This Row],[Pase de Nivel 4,7 ptos]]&lt;=4.7,"-")</f>
        <v>-</v>
      </c>
    </row>
    <row r="19" spans="1:15" x14ac:dyDescent="0.3">
      <c r="A19" s="29">
        <f>MONTH(NIVEL_1[[#This Row],[Fecha de Evaluación]])</f>
        <v>2</v>
      </c>
      <c r="B19" s="12" t="str">
        <f>IF(NIVEL_1[[#This Row],['#]]&gt;0,"NIVEL 1","")</f>
        <v>NIVEL 1</v>
      </c>
      <c r="C19" s="12" t="str">
        <f>TEXT(NIVEL_1[[#This Row],[Fecha de Evaluación]],"MMMM")</f>
        <v>febrero</v>
      </c>
      <c r="D19" s="3">
        <v>46080</v>
      </c>
      <c r="E19" s="20" t="s">
        <v>71</v>
      </c>
      <c r="F19" s="1">
        <v>1067956606</v>
      </c>
      <c r="G19" s="1">
        <v>5</v>
      </c>
      <c r="H19" s="1">
        <v>5</v>
      </c>
      <c r="I19" s="1">
        <v>5</v>
      </c>
      <c r="J19" s="1">
        <v>4</v>
      </c>
      <c r="K19" s="1">
        <v>4</v>
      </c>
      <c r="L19" s="1">
        <v>4</v>
      </c>
      <c r="M19" s="1">
        <v>5</v>
      </c>
      <c r="N19" s="19">
        <f>IFERROR(AVERAGE('NIVEL 1'!G19:M19),"-")</f>
        <v>4.5714285714285712</v>
      </c>
      <c r="O19" s="18" t="str" cm="1">
        <f t="array" ref="O19">_xlfn.IFS(NIVEL_1[[#This Row],[Pase de Nivel 4,7 ptos]]="-","-",NIVEL_1[[#This Row],[Pase de Nivel 4,7 ptos]]&gt;=4.7,"CAMBIA A NIVEL 2",NIVEL_1[[#This Row],[Pase de Nivel 4,7 ptos]]&lt;=4.7,"-")</f>
        <v>-</v>
      </c>
    </row>
    <row r="20" spans="1:15" x14ac:dyDescent="0.3">
      <c r="A20" s="29">
        <f>MONTH(NIVEL_1[[#This Row],[Fecha de Evaluación]])</f>
        <v>2</v>
      </c>
      <c r="B20" s="12" t="str">
        <f>IF(NIVEL_1[[#This Row],['#]]&gt;0,"NIVEL 1","")</f>
        <v>NIVEL 1</v>
      </c>
      <c r="C20" s="12" t="str">
        <f>TEXT(NIVEL_1[[#This Row],[Fecha de Evaluación]],"MMMM")</f>
        <v>febrero</v>
      </c>
      <c r="D20" s="3">
        <v>46080</v>
      </c>
      <c r="E20" s="20" t="s">
        <v>66</v>
      </c>
      <c r="F20" s="1">
        <v>1068439110</v>
      </c>
      <c r="G20" s="1">
        <v>5</v>
      </c>
      <c r="H20" s="1">
        <v>5</v>
      </c>
      <c r="I20" s="1">
        <v>4</v>
      </c>
      <c r="J20" s="1">
        <v>4</v>
      </c>
      <c r="K20" s="1">
        <v>3</v>
      </c>
      <c r="L20" s="1">
        <v>3</v>
      </c>
      <c r="M20" s="1">
        <v>5</v>
      </c>
      <c r="N20" s="19">
        <f>IFERROR(AVERAGE('NIVEL 1'!G20:M20),"-")</f>
        <v>4.1428571428571432</v>
      </c>
      <c r="O20" s="18" t="str" cm="1">
        <f t="array" ref="O20">_xlfn.IFS(NIVEL_1[[#This Row],[Pase de Nivel 4,7 ptos]]="-","-",NIVEL_1[[#This Row],[Pase de Nivel 4,7 ptos]]&gt;=4.7,"CAMBIA A NIVEL 2",NIVEL_1[[#This Row],[Pase de Nivel 4,7 ptos]]&lt;=4.7,"-")</f>
        <v>-</v>
      </c>
    </row>
    <row r="21" spans="1:15" x14ac:dyDescent="0.3">
      <c r="A21" s="29">
        <f>MONTH(NIVEL_1[[#This Row],[Fecha de Evaluación]])</f>
        <v>2</v>
      </c>
      <c r="B21" s="12" t="str">
        <f>IF(NIVEL_1[[#This Row],['#]]&gt;0,"NIVEL 1","")</f>
        <v>NIVEL 1</v>
      </c>
      <c r="C21" s="12" t="str">
        <f>TEXT(NIVEL_1[[#This Row],[Fecha de Evaluación]],"MMMM")</f>
        <v>febrero</v>
      </c>
      <c r="D21" s="3">
        <v>46080</v>
      </c>
      <c r="E21" s="20" t="s">
        <v>77</v>
      </c>
      <c r="F21" s="1">
        <v>1068443767</v>
      </c>
      <c r="G21" s="1">
        <v>5</v>
      </c>
      <c r="H21" s="1">
        <v>4</v>
      </c>
      <c r="I21" s="1">
        <v>1</v>
      </c>
      <c r="J21" s="1">
        <v>1</v>
      </c>
      <c r="K21" s="1">
        <v>1</v>
      </c>
      <c r="L21" s="1">
        <v>1</v>
      </c>
      <c r="M21" s="1">
        <v>5</v>
      </c>
      <c r="N21" s="19">
        <f>IFERROR(AVERAGE('NIVEL 1'!G21:M21),"-")</f>
        <v>2.5714285714285716</v>
      </c>
      <c r="O21" s="18" t="str" cm="1">
        <f t="array" ref="O21">_xlfn.IFS(NIVEL_1[[#This Row],[Pase de Nivel 4,7 ptos]]="-","-",NIVEL_1[[#This Row],[Pase de Nivel 4,7 ptos]]&gt;=4.7,"CAMBIA A NIVEL 2",NIVEL_1[[#This Row],[Pase de Nivel 4,7 ptos]]&lt;=4.7,"-")</f>
        <v>-</v>
      </c>
    </row>
    <row r="22" spans="1:15" x14ac:dyDescent="0.3">
      <c r="A22" s="29">
        <f>MONTH(NIVEL_1[[#This Row],[Fecha de Evaluación]])</f>
        <v>2</v>
      </c>
      <c r="B22" s="12" t="str">
        <f>IF(NIVEL_1[[#This Row],['#]]&gt;0,"NIVEL 1","")</f>
        <v>NIVEL 1</v>
      </c>
      <c r="C22" s="12" t="str">
        <f>TEXT(NIVEL_1[[#This Row],[Fecha de Evaluación]],"MMMM")</f>
        <v>febrero</v>
      </c>
      <c r="D22" s="3">
        <v>46080</v>
      </c>
      <c r="E22" s="20" t="s">
        <v>63</v>
      </c>
      <c r="F22" s="1">
        <v>1073824962</v>
      </c>
      <c r="G22" s="1">
        <v>5</v>
      </c>
      <c r="H22" s="1">
        <v>5</v>
      </c>
      <c r="I22" s="1">
        <v>4</v>
      </c>
      <c r="J22" s="1">
        <v>4</v>
      </c>
      <c r="K22" s="1">
        <v>4</v>
      </c>
      <c r="L22" s="1">
        <v>3</v>
      </c>
      <c r="M22" s="1">
        <v>5</v>
      </c>
      <c r="N22" s="19">
        <f>IFERROR(AVERAGE('NIVEL 1'!G22:M22),"-")</f>
        <v>4.2857142857142856</v>
      </c>
      <c r="O22" s="18" t="str" cm="1">
        <f t="array" ref="O22">_xlfn.IFS(NIVEL_1[[#This Row],[Pase de Nivel 4,7 ptos]]="-","-",NIVEL_1[[#This Row],[Pase de Nivel 4,7 ptos]]&gt;=4.7,"CAMBIA A NIVEL 2",NIVEL_1[[#This Row],[Pase de Nivel 4,7 ptos]]&lt;=4.7,"-")</f>
        <v>-</v>
      </c>
    </row>
    <row r="23" spans="1:15" x14ac:dyDescent="0.3">
      <c r="A23" s="29">
        <f>MONTH(NIVEL_1[[#This Row],[Fecha de Evaluación]])</f>
        <v>2</v>
      </c>
      <c r="B23" s="12" t="str">
        <f>IF(NIVEL_1[[#This Row],['#]]&gt;0,"NIVEL 1","")</f>
        <v>NIVEL 1</v>
      </c>
      <c r="C23" s="12" t="str">
        <f>TEXT(NIVEL_1[[#This Row],[Fecha de Evaluación]],"MMMM")</f>
        <v>febrero</v>
      </c>
      <c r="D23" s="3">
        <v>46080</v>
      </c>
      <c r="E23" s="20" t="s">
        <v>76</v>
      </c>
      <c r="F23" s="1">
        <v>1126253349</v>
      </c>
      <c r="G23" s="1">
        <v>5</v>
      </c>
      <c r="H23" s="1">
        <v>5</v>
      </c>
      <c r="I23" s="1">
        <v>4</v>
      </c>
      <c r="J23" s="1">
        <v>4</v>
      </c>
      <c r="K23" s="1">
        <v>4</v>
      </c>
      <c r="L23" s="1">
        <v>4</v>
      </c>
      <c r="M23" s="1">
        <v>5</v>
      </c>
      <c r="N23" s="19">
        <f>IFERROR(AVERAGE('NIVEL 1'!G23:M23),"-")</f>
        <v>4.4285714285714288</v>
      </c>
      <c r="O23" s="18" t="str" cm="1">
        <f t="array" ref="O23">_xlfn.IFS(NIVEL_1[[#This Row],[Pase de Nivel 4,7 ptos]]="-","-",NIVEL_1[[#This Row],[Pase de Nivel 4,7 ptos]]&gt;=4.7,"CAMBIA A NIVEL 2",NIVEL_1[[#This Row],[Pase de Nivel 4,7 ptos]]&lt;=4.7,"-")</f>
        <v>-</v>
      </c>
    </row>
    <row r="24" spans="1:15" x14ac:dyDescent="0.3">
      <c r="A24" s="29">
        <f>MONTH(NIVEL_1[[#This Row],[Fecha de Evaluación]])</f>
        <v>2</v>
      </c>
      <c r="B24" s="12" t="str">
        <f>IF(NIVEL_1[[#This Row],['#]]&gt;0,"NIVEL 1","")</f>
        <v>NIVEL 1</v>
      </c>
      <c r="C24" s="12" t="str">
        <f>TEXT(NIVEL_1[[#This Row],[Fecha de Evaluación]],"MMMM")</f>
        <v>febrero</v>
      </c>
      <c r="D24" s="3">
        <v>46080</v>
      </c>
      <c r="E24" s="20" t="s">
        <v>78</v>
      </c>
      <c r="F24" s="1">
        <v>1233346601</v>
      </c>
      <c r="G24" s="1">
        <v>5</v>
      </c>
      <c r="H24" s="1">
        <v>4</v>
      </c>
      <c r="I24" s="1">
        <v>3</v>
      </c>
      <c r="J24" s="1">
        <v>3</v>
      </c>
      <c r="K24" s="1">
        <v>2</v>
      </c>
      <c r="L24" s="1">
        <v>2</v>
      </c>
      <c r="M24" s="1">
        <v>5</v>
      </c>
      <c r="N24" s="19">
        <f>IFERROR(AVERAGE('NIVEL 1'!G24:M24),"-")</f>
        <v>3.4285714285714284</v>
      </c>
      <c r="O24" s="18" t="str" cm="1">
        <f t="array" ref="O24">_xlfn.IFS(NIVEL_1[[#This Row],[Pase de Nivel 4,7 ptos]]="-","-",NIVEL_1[[#This Row],[Pase de Nivel 4,7 ptos]]&gt;=4.7,"CAMBIA A NIVEL 2",NIVEL_1[[#This Row],[Pase de Nivel 4,7 ptos]]&lt;=4.7,"-")</f>
        <v>-</v>
      </c>
    </row>
    <row r="25" spans="1:15" x14ac:dyDescent="0.3">
      <c r="A25" s="29">
        <f>MONTH(NIVEL_1[[#This Row],[Fecha de Evaluación]])</f>
        <v>2</v>
      </c>
      <c r="B25" s="12" t="str">
        <f>IF(NIVEL_1[[#This Row],['#]]&gt;0,"NIVEL 1","")</f>
        <v>NIVEL 1</v>
      </c>
      <c r="C25" s="12" t="str">
        <f>TEXT(NIVEL_1[[#This Row],[Fecha de Evaluación]],"MMMM")</f>
        <v>febrero</v>
      </c>
      <c r="D25" s="3">
        <v>46080</v>
      </c>
      <c r="E25" s="20" t="s">
        <v>80</v>
      </c>
      <c r="F25" s="39" t="s">
        <v>80</v>
      </c>
      <c r="G25" s="1">
        <v>5</v>
      </c>
      <c r="H25" s="1">
        <v>5</v>
      </c>
      <c r="I25" s="1">
        <v>5</v>
      </c>
      <c r="J25" s="1">
        <v>4</v>
      </c>
      <c r="K25" s="1">
        <v>4</v>
      </c>
      <c r="L25" s="1">
        <v>4</v>
      </c>
      <c r="M25" s="1">
        <v>5</v>
      </c>
      <c r="N25" s="19">
        <f>IFERROR(AVERAGE('NIVEL 1'!G25:M25),"-")</f>
        <v>4.5714285714285712</v>
      </c>
      <c r="O25" s="18" t="str" cm="1">
        <f t="array" ref="O25">_xlfn.IFS(NIVEL_1[[#This Row],[Pase de Nivel 4,7 ptos]]="-","-",NIVEL_1[[#This Row],[Pase de Nivel 4,7 ptos]]&gt;=4.7,"CAMBIA A NIVEL 2",NIVEL_1[[#This Row],[Pase de Nivel 4,7 ptos]]&lt;=4.7,"-")</f>
        <v>-</v>
      </c>
    </row>
    <row r="26" spans="1:15" x14ac:dyDescent="0.3">
      <c r="A26" s="40">
        <f>MONTH(NIVEL_1[[#This Row],[Fecha de Evaluación]])</f>
        <v>3</v>
      </c>
      <c r="B26" s="41" t="str">
        <f>IF(NIVEL_1[[#This Row],['#]]&gt;0,"NIVEL 1","")</f>
        <v>NIVEL 1</v>
      </c>
      <c r="C26" s="41" t="str">
        <f>TEXT(NIVEL_1[[#This Row],[Fecha de Evaluación]],"MMMM")</f>
        <v>marzo</v>
      </c>
      <c r="D26" s="42">
        <v>46111</v>
      </c>
      <c r="E26" s="43" t="s">
        <v>110</v>
      </c>
      <c r="F26" s="44">
        <v>1003027198</v>
      </c>
      <c r="G26" s="45">
        <v>5</v>
      </c>
      <c r="H26" s="45">
        <v>5</v>
      </c>
      <c r="I26" s="45">
        <v>4</v>
      </c>
      <c r="J26" s="45">
        <v>4</v>
      </c>
      <c r="K26" s="45">
        <v>4</v>
      </c>
      <c r="L26" s="45">
        <v>4</v>
      </c>
      <c r="M26" s="45">
        <v>5</v>
      </c>
      <c r="N26" s="19">
        <f>IFERROR(AVERAGE('NIVEL 1'!G26:M26),"-")</f>
        <v>4.4285714285714288</v>
      </c>
      <c r="O26" s="46" t="str" cm="1">
        <f t="array" ref="O26">_xlfn.IFS(NIVEL_1[[#This Row],[Pase de Nivel 4,7 ptos]]="-","-",NIVEL_1[[#This Row],[Pase de Nivel 4,7 ptos]]&gt;=4.7,"CAMBIA A NIVEL 2",NIVEL_1[[#This Row],[Pase de Nivel 4,7 ptos]]&lt;=4.7,"-")</f>
        <v>-</v>
      </c>
    </row>
    <row r="27" spans="1:15" x14ac:dyDescent="0.3">
      <c r="A27" s="40">
        <f>MONTH(NIVEL_1[[#This Row],[Fecha de Evaluación]])</f>
        <v>3</v>
      </c>
      <c r="B27" s="41" t="str">
        <f>IF(NIVEL_1[[#This Row],['#]]&gt;0,"NIVEL 1","")</f>
        <v>NIVEL 1</v>
      </c>
      <c r="C27" s="41" t="str">
        <f>TEXT(NIVEL_1[[#This Row],[Fecha de Evaluación]],"MMMM")</f>
        <v>marzo</v>
      </c>
      <c r="D27" s="42">
        <v>46111</v>
      </c>
      <c r="E27" s="43" t="s">
        <v>64</v>
      </c>
      <c r="F27" s="44">
        <v>1035017030</v>
      </c>
      <c r="G27" s="45">
        <v>5</v>
      </c>
      <c r="H27" s="45">
        <v>5</v>
      </c>
      <c r="I27" s="45">
        <v>5</v>
      </c>
      <c r="J27" s="45">
        <v>3</v>
      </c>
      <c r="K27" s="45">
        <v>4</v>
      </c>
      <c r="L27" s="45">
        <v>3</v>
      </c>
      <c r="M27" s="45">
        <v>5</v>
      </c>
      <c r="N27" s="19">
        <f>IFERROR(AVERAGE('NIVEL 1'!G27:M27),"-")</f>
        <v>4.2857142857142856</v>
      </c>
      <c r="O27" s="46" t="str" cm="1">
        <f t="array" ref="O27">_xlfn.IFS(NIVEL_1[[#This Row],[Pase de Nivel 4,7 ptos]]="-","-",NIVEL_1[[#This Row],[Pase de Nivel 4,7 ptos]]&gt;=4.7,"CAMBIA A NIVEL 2",NIVEL_1[[#This Row],[Pase de Nivel 4,7 ptos]]&lt;=4.7,"-")</f>
        <v>-</v>
      </c>
    </row>
    <row r="28" spans="1:15" x14ac:dyDescent="0.3">
      <c r="A28" s="40">
        <f>MONTH(NIVEL_1[[#This Row],[Fecha de Evaluación]])</f>
        <v>3</v>
      </c>
      <c r="B28" s="41" t="str">
        <f>IF(NIVEL_1[[#This Row],['#]]&gt;0,"NIVEL 1","")</f>
        <v>NIVEL 1</v>
      </c>
      <c r="C28" s="41" t="str">
        <f>TEXT(NIVEL_1[[#This Row],[Fecha de Evaluación]],"MMMM")</f>
        <v>marzo</v>
      </c>
      <c r="D28" s="42">
        <v>46111</v>
      </c>
      <c r="E28" s="43" t="s">
        <v>109</v>
      </c>
      <c r="F28" s="44">
        <v>1062424218</v>
      </c>
      <c r="G28" s="45">
        <v>5</v>
      </c>
      <c r="H28" s="45">
        <v>5</v>
      </c>
      <c r="I28" s="45">
        <v>5</v>
      </c>
      <c r="J28" s="45">
        <v>4</v>
      </c>
      <c r="K28" s="45">
        <v>4</v>
      </c>
      <c r="L28" s="45">
        <v>4</v>
      </c>
      <c r="M28" s="45">
        <v>5</v>
      </c>
      <c r="N28" s="19">
        <f>IFERROR(AVERAGE('NIVEL 1'!G28:M28),"-")</f>
        <v>4.5714285714285712</v>
      </c>
      <c r="O28" s="46" t="str" cm="1">
        <f t="array" ref="O28">_xlfn.IFS(NIVEL_1[[#This Row],[Pase de Nivel 4,7 ptos]]="-","-",NIVEL_1[[#This Row],[Pase de Nivel 4,7 ptos]]&gt;=4.7,"CAMBIA A NIVEL 2",NIVEL_1[[#This Row],[Pase de Nivel 4,7 ptos]]&lt;=4.7,"-")</f>
        <v>-</v>
      </c>
    </row>
    <row r="29" spans="1:15" x14ac:dyDescent="0.3">
      <c r="A29" s="40">
        <f>MONTH(NIVEL_1[[#This Row],[Fecha de Evaluación]])</f>
        <v>3</v>
      </c>
      <c r="B29" s="41" t="str">
        <f>IF(NIVEL_1[[#This Row],['#]]&gt;0,"NIVEL 1","")</f>
        <v>NIVEL 1</v>
      </c>
      <c r="C29" s="41" t="str">
        <f>TEXT(NIVEL_1[[#This Row],[Fecha de Evaluación]],"MMMM")</f>
        <v>marzo</v>
      </c>
      <c r="D29" s="42">
        <v>46111</v>
      </c>
      <c r="E29" s="43" t="s">
        <v>106</v>
      </c>
      <c r="F29" s="44">
        <v>1062436143</v>
      </c>
      <c r="G29" s="45">
        <v>5</v>
      </c>
      <c r="H29" s="45">
        <v>5</v>
      </c>
      <c r="I29" s="45">
        <v>3</v>
      </c>
      <c r="J29" s="45">
        <v>3</v>
      </c>
      <c r="K29" s="45">
        <v>2</v>
      </c>
      <c r="L29" s="45">
        <v>2</v>
      </c>
      <c r="M29" s="45">
        <v>5</v>
      </c>
      <c r="N29" s="19">
        <f>IFERROR(AVERAGE('NIVEL 1'!G29:M29),"-")</f>
        <v>3.5714285714285716</v>
      </c>
      <c r="O29" s="46" t="str" cm="1">
        <f t="array" ref="O29">_xlfn.IFS(NIVEL_1[[#This Row],[Pase de Nivel 4,7 ptos]]="-","-",NIVEL_1[[#This Row],[Pase de Nivel 4,7 ptos]]&gt;=4.7,"CAMBIA A NIVEL 2",NIVEL_1[[#This Row],[Pase de Nivel 4,7 ptos]]&lt;=4.7,"-")</f>
        <v>-</v>
      </c>
    </row>
    <row r="30" spans="1:15" x14ac:dyDescent="0.3">
      <c r="A30" s="40">
        <f>MONTH(NIVEL_1[[#This Row],[Fecha de Evaluación]])</f>
        <v>3</v>
      </c>
      <c r="B30" s="41" t="str">
        <f>IF(NIVEL_1[[#This Row],['#]]&gt;0,"NIVEL 1","")</f>
        <v>NIVEL 1</v>
      </c>
      <c r="C30" s="41" t="str">
        <f>TEXT(NIVEL_1[[#This Row],[Fecha de Evaluación]],"MMMM")</f>
        <v>marzo</v>
      </c>
      <c r="D30" s="42">
        <v>46111</v>
      </c>
      <c r="E30" s="43" t="s">
        <v>100</v>
      </c>
      <c r="F30" s="44">
        <v>1062444411</v>
      </c>
      <c r="G30" s="45">
        <v>5</v>
      </c>
      <c r="H30" s="45">
        <v>5</v>
      </c>
      <c r="I30" s="45">
        <v>5</v>
      </c>
      <c r="J30" s="45">
        <v>5</v>
      </c>
      <c r="K30" s="45">
        <v>5</v>
      </c>
      <c r="L30" s="45">
        <v>5</v>
      </c>
      <c r="M30" s="45">
        <v>5</v>
      </c>
      <c r="N30" s="19">
        <f>IFERROR(AVERAGE('NIVEL 1'!G30:M30),"-")</f>
        <v>5</v>
      </c>
      <c r="O30" s="46" t="str" cm="1">
        <f t="array" ref="O30">_xlfn.IFS(NIVEL_1[[#This Row],[Pase de Nivel 4,7 ptos]]="-","-",NIVEL_1[[#This Row],[Pase de Nivel 4,7 ptos]]&gt;=4.7,"CAMBIA A NIVEL 2",NIVEL_1[[#This Row],[Pase de Nivel 4,7 ptos]]&lt;=4.7,"-")</f>
        <v>CAMBIA A NIVEL 2</v>
      </c>
    </row>
    <row r="31" spans="1:15" x14ac:dyDescent="0.3">
      <c r="A31" s="40">
        <f>MONTH(NIVEL_1[[#This Row],[Fecha de Evaluación]])</f>
        <v>3</v>
      </c>
      <c r="B31" s="41" t="str">
        <f>IF(NIVEL_1[[#This Row],['#]]&gt;0,"NIVEL 1","")</f>
        <v>NIVEL 1</v>
      </c>
      <c r="C31" s="41" t="str">
        <f>TEXT(NIVEL_1[[#This Row],[Fecha de Evaluación]],"MMMM")</f>
        <v>marzo</v>
      </c>
      <c r="D31" s="42">
        <v>46111</v>
      </c>
      <c r="E31" s="43" t="s">
        <v>79</v>
      </c>
      <c r="F31" s="44">
        <v>1062540875</v>
      </c>
      <c r="G31" s="45">
        <v>5</v>
      </c>
      <c r="H31" s="45">
        <v>5</v>
      </c>
      <c r="I31" s="45">
        <v>3</v>
      </c>
      <c r="J31" s="45">
        <v>3</v>
      </c>
      <c r="K31" s="45">
        <v>3</v>
      </c>
      <c r="L31" s="45">
        <v>2</v>
      </c>
      <c r="M31" s="45">
        <v>4</v>
      </c>
      <c r="N31" s="19">
        <f>IFERROR(AVERAGE('NIVEL 1'!G31:M31),"-")</f>
        <v>3.5714285714285716</v>
      </c>
      <c r="O31" s="46" t="str" cm="1">
        <f t="array" ref="O31">_xlfn.IFS(NIVEL_1[[#This Row],[Pase de Nivel 4,7 ptos]]="-","-",NIVEL_1[[#This Row],[Pase de Nivel 4,7 ptos]]&gt;=4.7,"CAMBIA A NIVEL 2",NIVEL_1[[#This Row],[Pase de Nivel 4,7 ptos]]&lt;=4.7,"-")</f>
        <v>-</v>
      </c>
    </row>
    <row r="32" spans="1:15" x14ac:dyDescent="0.3">
      <c r="A32" s="40">
        <f>MONTH(NIVEL_1[[#This Row],[Fecha de Evaluación]])</f>
        <v>3</v>
      </c>
      <c r="B32" s="41" t="str">
        <f>IF(NIVEL_1[[#This Row],['#]]&gt;0,"NIVEL 1","")</f>
        <v>NIVEL 1</v>
      </c>
      <c r="C32" s="41" t="str">
        <f>TEXT(NIVEL_1[[#This Row],[Fecha de Evaluación]],"MMMM")</f>
        <v>marzo</v>
      </c>
      <c r="D32" s="42">
        <v>46111</v>
      </c>
      <c r="E32" s="43" t="s">
        <v>99</v>
      </c>
      <c r="F32" s="44">
        <v>1062544508</v>
      </c>
      <c r="G32" s="45">
        <v>5</v>
      </c>
      <c r="H32" s="45">
        <v>5</v>
      </c>
      <c r="I32" s="45">
        <v>5</v>
      </c>
      <c r="J32" s="45">
        <v>4</v>
      </c>
      <c r="K32" s="45">
        <v>4</v>
      </c>
      <c r="L32" s="45">
        <v>4</v>
      </c>
      <c r="M32" s="45">
        <v>5</v>
      </c>
      <c r="N32" s="19">
        <f>IFERROR(AVERAGE('NIVEL 1'!G32:M32),"-")</f>
        <v>4.5714285714285712</v>
      </c>
      <c r="O32" s="46" t="str" cm="1">
        <f t="array" ref="O32">_xlfn.IFS(NIVEL_1[[#This Row],[Pase de Nivel 4,7 ptos]]="-","-",NIVEL_1[[#This Row],[Pase de Nivel 4,7 ptos]]&gt;=4.7,"CAMBIA A NIVEL 2",NIVEL_1[[#This Row],[Pase de Nivel 4,7 ptos]]&lt;=4.7,"-")</f>
        <v>-</v>
      </c>
    </row>
    <row r="33" spans="1:15" x14ac:dyDescent="0.3">
      <c r="A33" s="40">
        <f>MONTH(NIVEL_1[[#This Row],[Fecha de Evaluación]])</f>
        <v>3</v>
      </c>
      <c r="B33" s="41" t="str">
        <f>IF(NIVEL_1[[#This Row],['#]]&gt;0,"NIVEL 1","")</f>
        <v>NIVEL 1</v>
      </c>
      <c r="C33" s="41" t="str">
        <f>TEXT(NIVEL_1[[#This Row],[Fecha de Evaluación]],"MMMM")</f>
        <v>marzo</v>
      </c>
      <c r="D33" s="42">
        <v>46111</v>
      </c>
      <c r="E33" s="43" t="s">
        <v>70</v>
      </c>
      <c r="F33" s="44">
        <v>1062546526</v>
      </c>
      <c r="G33" s="45">
        <v>5</v>
      </c>
      <c r="H33" s="45">
        <v>5</v>
      </c>
      <c r="I33" s="45">
        <v>3</v>
      </c>
      <c r="J33" s="45">
        <v>3</v>
      </c>
      <c r="K33" s="45">
        <v>3</v>
      </c>
      <c r="L33" s="45">
        <v>2</v>
      </c>
      <c r="M33" s="45">
        <v>5</v>
      </c>
      <c r="N33" s="19">
        <f>IFERROR(AVERAGE('NIVEL 1'!G33:M33),"-")</f>
        <v>3.7142857142857144</v>
      </c>
      <c r="O33" s="46" t="str" cm="1">
        <f t="array" ref="O33">_xlfn.IFS(NIVEL_1[[#This Row],[Pase de Nivel 4,7 ptos]]="-","-",NIVEL_1[[#This Row],[Pase de Nivel 4,7 ptos]]&gt;=4.7,"CAMBIA A NIVEL 2",NIVEL_1[[#This Row],[Pase de Nivel 4,7 ptos]]&lt;=4.7,"-")</f>
        <v>-</v>
      </c>
    </row>
    <row r="34" spans="1:15" x14ac:dyDescent="0.3">
      <c r="A34" s="40">
        <f>MONTH(NIVEL_1[[#This Row],[Fecha de Evaluación]])</f>
        <v>3</v>
      </c>
      <c r="B34" s="41" t="str">
        <f>IF(NIVEL_1[[#This Row],['#]]&gt;0,"NIVEL 1","")</f>
        <v>NIVEL 1</v>
      </c>
      <c r="C34" s="41" t="str">
        <f>TEXT(NIVEL_1[[#This Row],[Fecha de Evaluación]],"MMMM")</f>
        <v>marzo</v>
      </c>
      <c r="D34" s="42">
        <v>46111</v>
      </c>
      <c r="E34" s="43" t="s">
        <v>68</v>
      </c>
      <c r="F34" s="44">
        <v>1062966144</v>
      </c>
      <c r="G34" s="45">
        <v>5</v>
      </c>
      <c r="H34" s="45">
        <v>5</v>
      </c>
      <c r="I34" s="45">
        <v>5</v>
      </c>
      <c r="J34" s="45">
        <v>4</v>
      </c>
      <c r="K34" s="45">
        <v>4</v>
      </c>
      <c r="L34" s="45">
        <v>4</v>
      </c>
      <c r="M34" s="45">
        <v>5</v>
      </c>
      <c r="N34" s="19">
        <f>IFERROR(AVERAGE('NIVEL 1'!G34:M34),"-")</f>
        <v>4.5714285714285712</v>
      </c>
      <c r="O34" s="46" t="str" cm="1">
        <f t="array" ref="O34">_xlfn.IFS(NIVEL_1[[#This Row],[Pase de Nivel 4,7 ptos]]="-","-",NIVEL_1[[#This Row],[Pase de Nivel 4,7 ptos]]&gt;=4.7,"CAMBIA A NIVEL 2",NIVEL_1[[#This Row],[Pase de Nivel 4,7 ptos]]&lt;=4.7,"-")</f>
        <v>-</v>
      </c>
    </row>
    <row r="35" spans="1:15" x14ac:dyDescent="0.3">
      <c r="A35" s="40">
        <f>MONTH(NIVEL_1[[#This Row],[Fecha de Evaluación]])</f>
        <v>3</v>
      </c>
      <c r="B35" s="41" t="str">
        <f>IF(NIVEL_1[[#This Row],['#]]&gt;0,"NIVEL 1","")</f>
        <v>NIVEL 1</v>
      </c>
      <c r="C35" s="41" t="str">
        <f>TEXT(NIVEL_1[[#This Row],[Fecha de Evaluación]],"MMMM")</f>
        <v>marzo</v>
      </c>
      <c r="D35" s="42">
        <v>46111</v>
      </c>
      <c r="E35" s="43" t="s">
        <v>105</v>
      </c>
      <c r="F35" s="44">
        <v>1067940515</v>
      </c>
      <c r="G35" s="45">
        <v>5</v>
      </c>
      <c r="H35" s="45">
        <v>5</v>
      </c>
      <c r="I35" s="45">
        <v>4</v>
      </c>
      <c r="J35" s="45">
        <v>3</v>
      </c>
      <c r="K35" s="45">
        <v>4</v>
      </c>
      <c r="L35" s="45">
        <v>3</v>
      </c>
      <c r="M35" s="45">
        <v>5</v>
      </c>
      <c r="N35" s="19">
        <f>IFERROR(AVERAGE('NIVEL 1'!G35:M35),"-")</f>
        <v>4.1428571428571432</v>
      </c>
      <c r="O35" s="46" t="str" cm="1">
        <f t="array" ref="O35">_xlfn.IFS(NIVEL_1[[#This Row],[Pase de Nivel 4,7 ptos]]="-","-",NIVEL_1[[#This Row],[Pase de Nivel 4,7 ptos]]&gt;=4.7,"CAMBIA A NIVEL 2",NIVEL_1[[#This Row],[Pase de Nivel 4,7 ptos]]&lt;=4.7,"-")</f>
        <v>-</v>
      </c>
    </row>
    <row r="36" spans="1:15" x14ac:dyDescent="0.3">
      <c r="A36" s="40">
        <f>MONTH(NIVEL_1[[#This Row],[Fecha de Evaluación]])</f>
        <v>3</v>
      </c>
      <c r="B36" s="41" t="str">
        <f>IF(NIVEL_1[[#This Row],['#]]&gt;0,"NIVEL 1","")</f>
        <v>NIVEL 1</v>
      </c>
      <c r="C36" s="41" t="str">
        <f>TEXT(NIVEL_1[[#This Row],[Fecha de Evaluación]],"MMMM")</f>
        <v>marzo</v>
      </c>
      <c r="D36" s="42">
        <v>46111</v>
      </c>
      <c r="E36" s="43" t="s">
        <v>67</v>
      </c>
      <c r="F36" s="44">
        <v>1067945529</v>
      </c>
      <c r="G36" s="45">
        <v>5</v>
      </c>
      <c r="H36" s="45">
        <v>5</v>
      </c>
      <c r="I36" s="45">
        <v>5</v>
      </c>
      <c r="J36" s="45">
        <v>4</v>
      </c>
      <c r="K36" s="45">
        <v>4</v>
      </c>
      <c r="L36" s="45">
        <v>4</v>
      </c>
      <c r="M36" s="45">
        <v>5</v>
      </c>
      <c r="N36" s="19">
        <f>IFERROR(AVERAGE('NIVEL 1'!G36:M36),"-")</f>
        <v>4.5714285714285712</v>
      </c>
      <c r="O36" s="46" t="str" cm="1">
        <f t="array" ref="O36">_xlfn.IFS(NIVEL_1[[#This Row],[Pase de Nivel 4,7 ptos]]="-","-",NIVEL_1[[#This Row],[Pase de Nivel 4,7 ptos]]&gt;=4.7,"CAMBIA A NIVEL 2",NIVEL_1[[#This Row],[Pase de Nivel 4,7 ptos]]&lt;=4.7,"-")</f>
        <v>-</v>
      </c>
    </row>
    <row r="37" spans="1:15" x14ac:dyDescent="0.3">
      <c r="A37" s="40">
        <f>MONTH(NIVEL_1[[#This Row],[Fecha de Evaluación]])</f>
        <v>3</v>
      </c>
      <c r="B37" s="41" t="str">
        <f>IF(NIVEL_1[[#This Row],['#]]&gt;0,"NIVEL 1","")</f>
        <v>NIVEL 1</v>
      </c>
      <c r="C37" s="41" t="str">
        <f>TEXT(NIVEL_1[[#This Row],[Fecha de Evaluación]],"MMMM")</f>
        <v>marzo</v>
      </c>
      <c r="D37" s="42">
        <v>46111</v>
      </c>
      <c r="E37" s="43" t="s">
        <v>71</v>
      </c>
      <c r="F37" s="44">
        <v>1067956606</v>
      </c>
      <c r="G37" s="45">
        <v>5</v>
      </c>
      <c r="H37" s="45">
        <v>5</v>
      </c>
      <c r="I37" s="45">
        <v>5</v>
      </c>
      <c r="J37" s="45">
        <v>5</v>
      </c>
      <c r="K37" s="45">
        <v>5</v>
      </c>
      <c r="L37" s="45">
        <v>5</v>
      </c>
      <c r="M37" s="45">
        <v>5</v>
      </c>
      <c r="N37" s="19">
        <f>IFERROR(AVERAGE('NIVEL 1'!G37:M37),"-")</f>
        <v>5</v>
      </c>
      <c r="O37" s="46" t="str" cm="1">
        <f t="array" ref="O37">_xlfn.IFS(NIVEL_1[[#This Row],[Pase de Nivel 4,7 ptos]]="-","-",NIVEL_1[[#This Row],[Pase de Nivel 4,7 ptos]]&gt;=4.7,"CAMBIA A NIVEL 2",NIVEL_1[[#This Row],[Pase de Nivel 4,7 ptos]]&lt;=4.7,"-")</f>
        <v>CAMBIA A NIVEL 2</v>
      </c>
    </row>
    <row r="38" spans="1:15" x14ac:dyDescent="0.3">
      <c r="A38" s="40">
        <f>MONTH(NIVEL_1[[#This Row],[Fecha de Evaluación]])</f>
        <v>3</v>
      </c>
      <c r="B38" s="41" t="str">
        <f>IF(NIVEL_1[[#This Row],['#]]&gt;0,"NIVEL 1","")</f>
        <v>NIVEL 1</v>
      </c>
      <c r="C38" s="41" t="str">
        <f>TEXT(NIVEL_1[[#This Row],[Fecha de Evaluación]],"MMMM")</f>
        <v>marzo</v>
      </c>
      <c r="D38" s="42">
        <v>46111</v>
      </c>
      <c r="E38" s="43" t="s">
        <v>101</v>
      </c>
      <c r="F38" s="44">
        <v>1068441879</v>
      </c>
      <c r="G38" s="45">
        <v>5</v>
      </c>
      <c r="H38" s="45">
        <v>3</v>
      </c>
      <c r="I38" s="45">
        <v>2</v>
      </c>
      <c r="J38" s="45">
        <v>3</v>
      </c>
      <c r="K38" s="45">
        <v>2</v>
      </c>
      <c r="L38" s="45">
        <v>2</v>
      </c>
      <c r="M38" s="45">
        <v>4</v>
      </c>
      <c r="N38" s="19">
        <f>IFERROR(AVERAGE('NIVEL 1'!G38:M38),"-")</f>
        <v>3</v>
      </c>
      <c r="O38" s="46" t="str" cm="1">
        <f t="array" ref="O38">_xlfn.IFS(NIVEL_1[[#This Row],[Pase de Nivel 4,7 ptos]]="-","-",NIVEL_1[[#This Row],[Pase de Nivel 4,7 ptos]]&gt;=4.7,"CAMBIA A NIVEL 2",NIVEL_1[[#This Row],[Pase de Nivel 4,7 ptos]]&lt;=4.7,"-")</f>
        <v>-</v>
      </c>
    </row>
    <row r="39" spans="1:15" x14ac:dyDescent="0.3">
      <c r="A39" s="40">
        <f>MONTH(NIVEL_1[[#This Row],[Fecha de Evaluación]])</f>
        <v>3</v>
      </c>
      <c r="B39" s="41" t="str">
        <f>IF(NIVEL_1[[#This Row],['#]]&gt;0,"NIVEL 1","")</f>
        <v>NIVEL 1</v>
      </c>
      <c r="C39" s="41" t="str">
        <f>TEXT(NIVEL_1[[#This Row],[Fecha de Evaluación]],"MMMM")</f>
        <v>marzo</v>
      </c>
      <c r="D39" s="42">
        <v>46111</v>
      </c>
      <c r="E39" s="43" t="s">
        <v>104</v>
      </c>
      <c r="F39" s="44">
        <v>1068442748</v>
      </c>
      <c r="G39" s="45">
        <v>5</v>
      </c>
      <c r="H39" s="45">
        <v>1</v>
      </c>
      <c r="I39" s="45">
        <v>2</v>
      </c>
      <c r="J39" s="45">
        <v>1</v>
      </c>
      <c r="K39" s="45">
        <v>1</v>
      </c>
      <c r="L39" s="45">
        <v>1</v>
      </c>
      <c r="M39" s="45">
        <v>1</v>
      </c>
      <c r="N39" s="19">
        <f>IFERROR(AVERAGE('NIVEL 1'!G39:M39),"-")</f>
        <v>1.7142857142857142</v>
      </c>
      <c r="O39" s="46" t="str" cm="1">
        <f t="array" ref="O39">_xlfn.IFS(NIVEL_1[[#This Row],[Pase de Nivel 4,7 ptos]]="-","-",NIVEL_1[[#This Row],[Pase de Nivel 4,7 ptos]]&gt;=4.7,"CAMBIA A NIVEL 2",NIVEL_1[[#This Row],[Pase de Nivel 4,7 ptos]]&lt;=4.7,"-")</f>
        <v>-</v>
      </c>
    </row>
    <row r="40" spans="1:15" x14ac:dyDescent="0.3">
      <c r="A40" s="40">
        <f>MONTH(NIVEL_1[[#This Row],[Fecha de Evaluación]])</f>
        <v>3</v>
      </c>
      <c r="B40" s="41" t="str">
        <f>IF(NIVEL_1[[#This Row],['#]]&gt;0,"NIVEL 1","")</f>
        <v>NIVEL 1</v>
      </c>
      <c r="C40" s="41" t="str">
        <f>TEXT(NIVEL_1[[#This Row],[Fecha de Evaluación]],"MMMM")</f>
        <v>marzo</v>
      </c>
      <c r="D40" s="42">
        <v>46111</v>
      </c>
      <c r="E40" s="43" t="s">
        <v>77</v>
      </c>
      <c r="F40" s="44">
        <v>1068443767</v>
      </c>
      <c r="G40" s="45">
        <v>5</v>
      </c>
      <c r="H40" s="45">
        <v>3</v>
      </c>
      <c r="I40" s="45">
        <v>2</v>
      </c>
      <c r="J40" s="45">
        <v>2</v>
      </c>
      <c r="K40" s="45">
        <v>2</v>
      </c>
      <c r="L40" s="45">
        <v>2</v>
      </c>
      <c r="M40" s="45">
        <v>5</v>
      </c>
      <c r="N40" s="19">
        <f>IFERROR(AVERAGE('NIVEL 1'!G40:M40),"-")</f>
        <v>3</v>
      </c>
      <c r="O40" s="46" t="str" cm="1">
        <f t="array" ref="O40">_xlfn.IFS(NIVEL_1[[#This Row],[Pase de Nivel 4,7 ptos]]="-","-",NIVEL_1[[#This Row],[Pase de Nivel 4,7 ptos]]&gt;=4.7,"CAMBIA A NIVEL 2",NIVEL_1[[#This Row],[Pase de Nivel 4,7 ptos]]&lt;=4.7,"-")</f>
        <v>-</v>
      </c>
    </row>
    <row r="41" spans="1:15" x14ac:dyDescent="0.3">
      <c r="A41" s="40">
        <f>MONTH(NIVEL_1[[#This Row],[Fecha de Evaluación]])</f>
        <v>3</v>
      </c>
      <c r="B41" s="41" t="str">
        <f>IF(NIVEL_1[[#This Row],['#]]&gt;0,"NIVEL 1","")</f>
        <v>NIVEL 1</v>
      </c>
      <c r="C41" s="41" t="str">
        <f>TEXT(NIVEL_1[[#This Row],[Fecha de Evaluación]],"MMMM")</f>
        <v>marzo</v>
      </c>
      <c r="D41" s="42">
        <v>46111</v>
      </c>
      <c r="E41" s="43" t="s">
        <v>63</v>
      </c>
      <c r="F41" s="44">
        <v>1073824962</v>
      </c>
      <c r="G41" s="45">
        <v>5</v>
      </c>
      <c r="H41" s="45">
        <v>5</v>
      </c>
      <c r="I41" s="45">
        <v>5</v>
      </c>
      <c r="J41" s="45">
        <v>4</v>
      </c>
      <c r="K41" s="45">
        <v>5</v>
      </c>
      <c r="L41" s="45">
        <v>4</v>
      </c>
      <c r="M41" s="45">
        <v>5</v>
      </c>
      <c r="N41" s="19">
        <f>IFERROR(AVERAGE('NIVEL 1'!G41:M41),"-")</f>
        <v>4.7142857142857144</v>
      </c>
      <c r="O41" s="46" t="str" cm="1">
        <f t="array" ref="O41">_xlfn.IFS(NIVEL_1[[#This Row],[Pase de Nivel 4,7 ptos]]="-","-",NIVEL_1[[#This Row],[Pase de Nivel 4,7 ptos]]&gt;=4.7,"CAMBIA A NIVEL 2",NIVEL_1[[#This Row],[Pase de Nivel 4,7 ptos]]&lt;=4.7,"-")</f>
        <v>CAMBIA A NIVEL 2</v>
      </c>
    </row>
    <row r="42" spans="1:15" x14ac:dyDescent="0.3">
      <c r="A42" s="40">
        <f>MONTH(NIVEL_1[[#This Row],[Fecha de Evaluación]])</f>
        <v>3</v>
      </c>
      <c r="B42" s="41" t="str">
        <f>IF(NIVEL_1[[#This Row],['#]]&gt;0,"NIVEL 1","")</f>
        <v>NIVEL 1</v>
      </c>
      <c r="C42" s="41" t="str">
        <f>TEXT(NIVEL_1[[#This Row],[Fecha de Evaluación]],"MMMM")</f>
        <v>marzo</v>
      </c>
      <c r="D42" s="42">
        <v>46111</v>
      </c>
      <c r="E42" s="43" t="s">
        <v>76</v>
      </c>
      <c r="F42" s="44">
        <v>1126253349</v>
      </c>
      <c r="G42" s="45">
        <v>5</v>
      </c>
      <c r="H42" s="45">
        <v>5</v>
      </c>
      <c r="I42" s="45">
        <v>4</v>
      </c>
      <c r="J42" s="45">
        <v>4</v>
      </c>
      <c r="K42" s="45">
        <v>4</v>
      </c>
      <c r="L42" s="45">
        <v>5</v>
      </c>
      <c r="M42" s="45">
        <v>5</v>
      </c>
      <c r="N42" s="19">
        <f>IFERROR(AVERAGE('NIVEL 1'!G42:M42),"-")</f>
        <v>4.5714285714285712</v>
      </c>
      <c r="O42" s="46" t="str" cm="1">
        <f t="array" ref="O42">_xlfn.IFS(NIVEL_1[[#This Row],[Pase de Nivel 4,7 ptos]]="-","-",NIVEL_1[[#This Row],[Pase de Nivel 4,7 ptos]]&gt;=4.7,"CAMBIA A NIVEL 2",NIVEL_1[[#This Row],[Pase de Nivel 4,7 ptos]]&lt;=4.7,"-")</f>
        <v>-</v>
      </c>
    </row>
    <row r="43" spans="1:15" x14ac:dyDescent="0.3">
      <c r="A43" s="40">
        <f>MONTH(NIVEL_1[[#This Row],[Fecha de Evaluación]])</f>
        <v>3</v>
      </c>
      <c r="B43" s="41" t="str">
        <f>IF(NIVEL_1[[#This Row],['#]]&gt;0,"NIVEL 1","")</f>
        <v>NIVEL 1</v>
      </c>
      <c r="C43" s="41" t="str">
        <f>TEXT(NIVEL_1[[#This Row],[Fecha de Evaluación]],"MMMM")</f>
        <v>marzo</v>
      </c>
      <c r="D43" s="42">
        <v>46111</v>
      </c>
      <c r="E43" s="43" t="s">
        <v>103</v>
      </c>
      <c r="F43" s="44">
        <v>1137975856</v>
      </c>
      <c r="G43" s="45">
        <v>5</v>
      </c>
      <c r="H43" s="45">
        <v>5</v>
      </c>
      <c r="I43" s="45">
        <v>5</v>
      </c>
      <c r="J43" s="45">
        <v>4</v>
      </c>
      <c r="K43" s="45">
        <v>4</v>
      </c>
      <c r="L43" s="45">
        <v>4</v>
      </c>
      <c r="M43" s="45">
        <v>5</v>
      </c>
      <c r="N43" s="19">
        <f>IFERROR(AVERAGE('NIVEL 1'!G43:M43),"-")</f>
        <v>4.5714285714285712</v>
      </c>
      <c r="O43" s="46" t="str" cm="1">
        <f t="array" ref="O43">_xlfn.IFS(NIVEL_1[[#This Row],[Pase de Nivel 4,7 ptos]]="-","-",NIVEL_1[[#This Row],[Pase de Nivel 4,7 ptos]]&gt;=4.7,"CAMBIA A NIVEL 2",NIVEL_1[[#This Row],[Pase de Nivel 4,7 ptos]]&lt;=4.7,"-")</f>
        <v>-</v>
      </c>
    </row>
    <row r="44" spans="1:15" x14ac:dyDescent="0.3">
      <c r="A44" s="40">
        <f>MONTH(NIVEL_1[[#This Row],[Fecha de Evaluación]])</f>
        <v>3</v>
      </c>
      <c r="B44" s="41" t="str">
        <f>IF(NIVEL_1[[#This Row],['#]]&gt;0,"NIVEL 1","")</f>
        <v>NIVEL 1</v>
      </c>
      <c r="C44" s="41" t="str">
        <f>TEXT(NIVEL_1[[#This Row],[Fecha de Evaluación]],"MMMM")</f>
        <v>marzo</v>
      </c>
      <c r="D44" s="42">
        <v>46111</v>
      </c>
      <c r="E44" s="43" t="s">
        <v>102</v>
      </c>
      <c r="F44" s="44">
        <v>1138030749</v>
      </c>
      <c r="G44" s="45">
        <v>5</v>
      </c>
      <c r="H44" s="45">
        <v>5</v>
      </c>
      <c r="I44" s="45">
        <v>4</v>
      </c>
      <c r="J44" s="45">
        <v>4</v>
      </c>
      <c r="K44" s="45">
        <v>4</v>
      </c>
      <c r="L44" s="45">
        <v>4</v>
      </c>
      <c r="M44" s="45">
        <v>5</v>
      </c>
      <c r="N44" s="19">
        <f>IFERROR(AVERAGE('NIVEL 1'!G44:M44),"-")</f>
        <v>4.4285714285714288</v>
      </c>
      <c r="O44" s="46" t="str" cm="1">
        <f t="array" ref="O44">_xlfn.IFS(NIVEL_1[[#This Row],[Pase de Nivel 4,7 ptos]]="-","-",NIVEL_1[[#This Row],[Pase de Nivel 4,7 ptos]]&gt;=4.7,"CAMBIA A NIVEL 2",NIVEL_1[[#This Row],[Pase de Nivel 4,7 ptos]]&lt;=4.7,"-")</f>
        <v>-</v>
      </c>
    </row>
    <row r="45" spans="1:15" x14ac:dyDescent="0.3">
      <c r="A45" s="40">
        <f>MONTH(NIVEL_1[[#This Row],[Fecha de Evaluación]])</f>
        <v>3</v>
      </c>
      <c r="B45" s="41" t="str">
        <f>IF(NIVEL_1[[#This Row],['#]]&gt;0,"NIVEL 1","")</f>
        <v>NIVEL 1</v>
      </c>
      <c r="C45" s="41" t="str">
        <f>TEXT(NIVEL_1[[#This Row],[Fecha de Evaluación]],"MMMM")</f>
        <v>marzo</v>
      </c>
      <c r="D45" s="42">
        <v>46111</v>
      </c>
      <c r="E45" s="43" t="s">
        <v>107</v>
      </c>
      <c r="F45" s="44">
        <v>1138031920</v>
      </c>
      <c r="G45" s="45">
        <v>5</v>
      </c>
      <c r="H45" s="45">
        <v>5</v>
      </c>
      <c r="I45" s="45">
        <v>5</v>
      </c>
      <c r="J45" s="45">
        <v>4</v>
      </c>
      <c r="K45" s="45">
        <v>5</v>
      </c>
      <c r="L45" s="45">
        <v>4</v>
      </c>
      <c r="M45" s="45">
        <v>5</v>
      </c>
      <c r="N45" s="19">
        <f>IFERROR(AVERAGE('NIVEL 1'!G45:M45),"-")</f>
        <v>4.7142857142857144</v>
      </c>
      <c r="O45" s="46" t="str" cm="1">
        <f t="array" ref="O45">_xlfn.IFS(NIVEL_1[[#This Row],[Pase de Nivel 4,7 ptos]]="-","-",NIVEL_1[[#This Row],[Pase de Nivel 4,7 ptos]]&gt;=4.7,"CAMBIA A NIVEL 2",NIVEL_1[[#This Row],[Pase de Nivel 4,7 ptos]]&lt;=4.7,"-")</f>
        <v>CAMBIA A NIVEL 2</v>
      </c>
    </row>
    <row r="46" spans="1:15" x14ac:dyDescent="0.3">
      <c r="A46" s="40">
        <f>MONTH(NIVEL_1[[#This Row],[Fecha de Evaluación]])</f>
        <v>3</v>
      </c>
      <c r="B46" s="41" t="str">
        <f>IF(NIVEL_1[[#This Row],['#]]&gt;0,"NIVEL 1","")</f>
        <v>NIVEL 1</v>
      </c>
      <c r="C46" s="41" t="str">
        <f>TEXT(NIVEL_1[[#This Row],[Fecha de Evaluación]],"MMMM")</f>
        <v>marzo</v>
      </c>
      <c r="D46" s="42">
        <v>46111</v>
      </c>
      <c r="E46" s="43" t="s">
        <v>108</v>
      </c>
      <c r="F46" s="44">
        <v>1233348383</v>
      </c>
      <c r="G46" s="45">
        <v>5</v>
      </c>
      <c r="H46" s="45">
        <v>2</v>
      </c>
      <c r="I46" s="45">
        <v>2</v>
      </c>
      <c r="J46" s="45">
        <v>2</v>
      </c>
      <c r="K46" s="45">
        <v>2</v>
      </c>
      <c r="L46" s="45">
        <v>2</v>
      </c>
      <c r="M46" s="45">
        <v>4</v>
      </c>
      <c r="N46" s="19">
        <f>IFERROR(AVERAGE('NIVEL 1'!G46:M46),"-")</f>
        <v>2.7142857142857144</v>
      </c>
      <c r="O46" s="46" t="str" cm="1">
        <f t="array" ref="O46">_xlfn.IFS(NIVEL_1[[#This Row],[Pase de Nivel 4,7 ptos]]="-","-",NIVEL_1[[#This Row],[Pase de Nivel 4,7 ptos]]&gt;=4.7,"CAMBIA A NIVEL 2",NIVEL_1[[#This Row],[Pase de Nivel 4,7 ptos]]&lt;=4.7,"-")</f>
        <v>-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fitToHeight="0"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AE3E3-1406-4D34-A2D7-9E5403E6279A}">
  <sheetPr>
    <pageSetUpPr fitToPage="1"/>
  </sheetPr>
  <dimension ref="A1:O23"/>
  <sheetViews>
    <sheetView workbookViewId="0">
      <pane ySplit="2" topLeftCell="A3" activePane="bottomLeft" state="frozenSplit"/>
      <selection activeCell="F38" sqref="F38:U41"/>
      <selection pane="bottomLeft" activeCell="N22" sqref="M22:N22"/>
    </sheetView>
  </sheetViews>
  <sheetFormatPr baseColWidth="10" defaultColWidth="10.6640625" defaultRowHeight="14.4" x14ac:dyDescent="0.3"/>
  <cols>
    <col min="1" max="1" width="6.44140625" customWidth="1"/>
    <col min="2" max="2" width="5.33203125" customWidth="1"/>
    <col min="3" max="3" width="8.109375" bestFit="1" customWidth="1"/>
    <col min="4" max="4" width="9.6640625" customWidth="1"/>
    <col min="5" max="5" width="28.5546875" bestFit="1" customWidth="1"/>
    <col min="6" max="6" width="13.33203125" bestFit="1" customWidth="1"/>
    <col min="7" max="7" width="9.5546875" customWidth="1"/>
    <col min="8" max="8" width="9" customWidth="1"/>
    <col min="9" max="9" width="8.5546875" customWidth="1"/>
    <col min="10" max="10" width="8.33203125" customWidth="1"/>
    <col min="11" max="11" width="7.88671875" customWidth="1"/>
    <col min="12" max="12" width="6.33203125" customWidth="1"/>
    <col min="13" max="13" width="9.5546875" customWidth="1"/>
    <col min="14" max="14" width="7.109375" customWidth="1"/>
    <col min="15" max="15" width="15.6640625" customWidth="1"/>
    <col min="16" max="16" width="15.33203125" customWidth="1"/>
    <col min="17" max="17" width="11.88671875" bestFit="1" customWidth="1"/>
  </cols>
  <sheetData>
    <row r="1" spans="1:15" x14ac:dyDescent="0.3">
      <c r="C1" s="3"/>
      <c r="E1" s="25" t="s">
        <v>58</v>
      </c>
      <c r="F1" s="35" t="s">
        <v>33</v>
      </c>
      <c r="G1" s="35"/>
      <c r="H1" s="35"/>
      <c r="I1" s="35"/>
      <c r="J1" s="35"/>
      <c r="K1" s="35"/>
      <c r="L1" s="35"/>
      <c r="M1" s="35"/>
      <c r="N1" s="35"/>
      <c r="O1" s="34"/>
    </row>
    <row r="2" spans="1:15" ht="30.6" x14ac:dyDescent="0.3">
      <c r="A2" s="7" t="s">
        <v>61</v>
      </c>
      <c r="B2" s="13" t="s">
        <v>47</v>
      </c>
      <c r="C2" s="4" t="s">
        <v>34</v>
      </c>
      <c r="D2" s="4" t="s">
        <v>11</v>
      </c>
      <c r="E2" s="30" t="s">
        <v>0</v>
      </c>
      <c r="F2" s="5" t="s">
        <v>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30</v>
      </c>
      <c r="L2" s="5" t="s">
        <v>16</v>
      </c>
      <c r="M2" s="5" t="s">
        <v>31</v>
      </c>
      <c r="N2" s="5" t="s">
        <v>9</v>
      </c>
      <c r="O2" s="6" t="s">
        <v>10</v>
      </c>
    </row>
    <row r="3" spans="1:15" x14ac:dyDescent="0.3">
      <c r="A3" s="29">
        <f>MONTH(NIVEL_2[[#This Row],[Fecha de Evaluación]])</f>
        <v>1</v>
      </c>
      <c r="B3" s="12" t="str">
        <f>IF(NIVEL_2[[#This Row],['#]]&gt;0,"NIVEL 2","")</f>
        <v>NIVEL 2</v>
      </c>
      <c r="C3" s="12" t="str">
        <f>TEXT(NIVEL_2[[#This Row],[Fecha de Evaluación]],"MMMM")</f>
        <v>enero</v>
      </c>
      <c r="D3" s="3">
        <v>46053</v>
      </c>
      <c r="E3" s="20" t="s">
        <v>72</v>
      </c>
      <c r="F3" s="1">
        <v>1073817245</v>
      </c>
      <c r="G3" s="1">
        <v>4</v>
      </c>
      <c r="H3" s="1">
        <v>4</v>
      </c>
      <c r="I3" s="1">
        <v>2</v>
      </c>
      <c r="J3" s="1">
        <v>2</v>
      </c>
      <c r="K3" s="1">
        <v>2</v>
      </c>
      <c r="L3" s="1">
        <v>5</v>
      </c>
      <c r="M3" s="1">
        <v>1</v>
      </c>
      <c r="N3" s="19">
        <f>IFERROR(AVERAGE('NIVEL 2'!G3:M3),"-")</f>
        <v>2.8571428571428572</v>
      </c>
      <c r="O3" s="18" t="str" cm="1">
        <f t="array" ref="O3">_xlfn.IFS(NIVEL_2[[#This Row],[Pase de Nivel 4,7 ptos]]="-","-",NIVEL_2[[#This Row],[Pase de Nivel 4,7 ptos]]&gt;=4.7,"CAMBIA A NIVEL 3",NIVEL_2[[#This Row],[Pase de Nivel 4,7 ptos]]&lt;=4.7,"-")</f>
        <v>-</v>
      </c>
    </row>
    <row r="4" spans="1:15" x14ac:dyDescent="0.3">
      <c r="A4" s="29">
        <f>MONTH(NIVEL_2[[#This Row],[Fecha de Evaluación]])</f>
        <v>1</v>
      </c>
      <c r="B4" s="12" t="str">
        <f>IF(NIVEL_2[[#This Row],['#]]&gt;0,"NIVEL 2","")</f>
        <v>NIVEL 2</v>
      </c>
      <c r="C4" s="12" t="str">
        <f>TEXT(NIVEL_2[[#This Row],[Fecha de Evaluación]],"MMMM")</f>
        <v>enero</v>
      </c>
      <c r="D4" s="3">
        <v>46050</v>
      </c>
      <c r="E4" s="20" t="s">
        <v>73</v>
      </c>
      <c r="F4" s="1">
        <v>1140444971</v>
      </c>
      <c r="G4" s="1">
        <v>5</v>
      </c>
      <c r="H4" s="1">
        <v>5</v>
      </c>
      <c r="I4" s="1">
        <v>4</v>
      </c>
      <c r="J4" s="1">
        <v>4</v>
      </c>
      <c r="K4" s="1">
        <v>4</v>
      </c>
      <c r="L4" s="1">
        <v>5</v>
      </c>
      <c r="M4" s="1">
        <v>2</v>
      </c>
      <c r="N4" s="19">
        <f>IFERROR(AVERAGE('NIVEL 2'!G4:M4),"-")</f>
        <v>4.1428571428571432</v>
      </c>
      <c r="O4" s="18" t="str" cm="1">
        <f t="array" ref="O4">_xlfn.IFS(NIVEL_2[[#This Row],[Pase de Nivel 4,7 ptos]]="-","-",NIVEL_2[[#This Row],[Pase de Nivel 4,7 ptos]]&gt;=4.7,"CAMBIA A NIVEL 3",NIVEL_2[[#This Row],[Pase de Nivel 4,7 ptos]]&lt;=4.7,"-")</f>
        <v>-</v>
      </c>
    </row>
    <row r="5" spans="1:15" x14ac:dyDescent="0.3">
      <c r="A5" s="1">
        <f>MONTH(NIVEL_2[[#This Row],[Fecha de Evaluación]])</f>
        <v>2</v>
      </c>
      <c r="B5" s="12" t="str">
        <f>IF(NIVEL_2[[#This Row],['#]]&gt;0,"NIVEL 2","")</f>
        <v>NIVEL 2</v>
      </c>
      <c r="C5" s="12" t="str">
        <f>TEXT(NIVEL_2[[#This Row],[Fecha de Evaluación]],"MMMM")</f>
        <v>febrero</v>
      </c>
      <c r="D5" s="3">
        <v>46081</v>
      </c>
      <c r="E5" s="20" t="s">
        <v>82</v>
      </c>
      <c r="F5" s="1">
        <v>1027663882</v>
      </c>
      <c r="G5" s="1">
        <v>4</v>
      </c>
      <c r="H5" s="1">
        <v>4</v>
      </c>
      <c r="I5" s="1">
        <v>4</v>
      </c>
      <c r="J5" s="1">
        <v>4</v>
      </c>
      <c r="K5" s="1">
        <v>3</v>
      </c>
      <c r="L5" s="1">
        <v>5</v>
      </c>
      <c r="M5" s="1">
        <v>3</v>
      </c>
      <c r="N5" s="19">
        <f>IFERROR(AVERAGE('NIVEL 2'!G5:M5),"-")</f>
        <v>3.8571428571428572</v>
      </c>
      <c r="O5" s="18" t="str" cm="1">
        <f t="array" ref="O5">_xlfn.IFS(NIVEL_2[[#This Row],[Pase de Nivel 4,7 ptos]]="-","-",NIVEL_2[[#This Row],[Pase de Nivel 4,7 ptos]]&gt;=4.7,"CAMBIA A NIVEL 3",NIVEL_2[[#This Row],[Pase de Nivel 4,7 ptos]]&lt;=4.7,"-")</f>
        <v>-</v>
      </c>
    </row>
    <row r="6" spans="1:15" x14ac:dyDescent="0.3">
      <c r="A6" s="1">
        <f>MONTH(NIVEL_2[[#This Row],[Fecha de Evaluación]])</f>
        <v>2</v>
      </c>
      <c r="B6" s="12" t="str">
        <f>IF(NIVEL_2[[#This Row],['#]]&gt;0,"NIVEL 2","")</f>
        <v>NIVEL 2</v>
      </c>
      <c r="C6" s="12" t="str">
        <f>TEXT(NIVEL_2[[#This Row],[Fecha de Evaluación]],"MMMM")</f>
        <v>febrero</v>
      </c>
      <c r="D6" s="3">
        <v>46081</v>
      </c>
      <c r="E6" s="20" t="s">
        <v>62</v>
      </c>
      <c r="F6" s="1">
        <v>1035003918</v>
      </c>
      <c r="G6" s="1">
        <v>4</v>
      </c>
      <c r="H6" s="1">
        <v>4</v>
      </c>
      <c r="I6" s="1">
        <v>4</v>
      </c>
      <c r="J6" s="1">
        <v>4</v>
      </c>
      <c r="K6" s="1">
        <v>4</v>
      </c>
      <c r="L6" s="1">
        <v>4</v>
      </c>
      <c r="M6" s="1">
        <v>2</v>
      </c>
      <c r="N6" s="19">
        <f>IFERROR(AVERAGE('NIVEL 2'!G6:M6),"-")</f>
        <v>3.7142857142857144</v>
      </c>
      <c r="O6" s="18" t="str" cm="1">
        <f t="array" ref="O6">_xlfn.IFS(NIVEL_2[[#This Row],[Pase de Nivel 4,7 ptos]]="-","-",NIVEL_2[[#This Row],[Pase de Nivel 4,7 ptos]]&gt;=4.7,"CAMBIA A NIVEL 3",NIVEL_2[[#This Row],[Pase de Nivel 4,7 ptos]]&lt;=4.7,"-")</f>
        <v>-</v>
      </c>
    </row>
    <row r="7" spans="1:15" x14ac:dyDescent="0.3">
      <c r="A7" s="1">
        <f>MONTH(NIVEL_2[[#This Row],[Fecha de Evaluación]])</f>
        <v>2</v>
      </c>
      <c r="B7" s="12" t="str">
        <f>IF(NIVEL_2[[#This Row],['#]]&gt;0,"NIVEL 2","")</f>
        <v>NIVEL 2</v>
      </c>
      <c r="C7" s="12" t="str">
        <f>TEXT(NIVEL_2[[#This Row],[Fecha de Evaluación]],"MMMM")</f>
        <v>febrero</v>
      </c>
      <c r="D7" s="3">
        <v>46081</v>
      </c>
      <c r="E7" s="20" t="s">
        <v>81</v>
      </c>
      <c r="F7" s="1">
        <v>1062981643</v>
      </c>
      <c r="G7" s="1">
        <v>4</v>
      </c>
      <c r="H7" s="1">
        <v>5</v>
      </c>
      <c r="I7" s="1">
        <v>2</v>
      </c>
      <c r="J7" s="1">
        <v>3</v>
      </c>
      <c r="K7" s="1">
        <v>3</v>
      </c>
      <c r="L7" s="1">
        <v>4</v>
      </c>
      <c r="M7" s="1">
        <v>2</v>
      </c>
      <c r="N7" s="19">
        <f>IFERROR(AVERAGE('NIVEL 2'!G7:M7),"-")</f>
        <v>3.2857142857142856</v>
      </c>
      <c r="O7" s="18" t="str" cm="1">
        <f t="array" ref="O7">_xlfn.IFS(NIVEL_2[[#This Row],[Pase de Nivel 4,7 ptos]]="-","-",NIVEL_2[[#This Row],[Pase de Nivel 4,7 ptos]]&gt;=4.7,"CAMBIA A NIVEL 3",NIVEL_2[[#This Row],[Pase de Nivel 4,7 ptos]]&lt;=4.7,"-")</f>
        <v>-</v>
      </c>
    </row>
    <row r="8" spans="1:15" x14ac:dyDescent="0.3">
      <c r="A8" s="1">
        <f>MONTH(NIVEL_2[[#This Row],[Fecha de Evaluación]])</f>
        <v>2</v>
      </c>
      <c r="B8" s="12" t="str">
        <f>IF(NIVEL_2[[#This Row],['#]]&gt;0,"NIVEL 2","")</f>
        <v>NIVEL 2</v>
      </c>
      <c r="C8" s="12" t="str">
        <f>TEXT(NIVEL_2[[#This Row],[Fecha de Evaluación]],"MMMM")</f>
        <v>febrero</v>
      </c>
      <c r="D8" s="3">
        <v>46081</v>
      </c>
      <c r="E8" s="20" t="s">
        <v>72</v>
      </c>
      <c r="F8" s="1">
        <v>1073817245</v>
      </c>
      <c r="G8" s="1">
        <v>4</v>
      </c>
      <c r="H8" s="1">
        <v>4</v>
      </c>
      <c r="I8" s="1">
        <v>2</v>
      </c>
      <c r="J8" s="1">
        <v>3</v>
      </c>
      <c r="K8" s="1">
        <v>2</v>
      </c>
      <c r="L8" s="1">
        <v>4</v>
      </c>
      <c r="M8" s="1">
        <v>2</v>
      </c>
      <c r="N8" s="19">
        <f>IFERROR(AVERAGE('NIVEL 2'!G8:M8),"-")</f>
        <v>3</v>
      </c>
      <c r="O8" s="18" t="str" cm="1">
        <f t="array" ref="O8">_xlfn.IFS(NIVEL_2[[#This Row],[Pase de Nivel 4,7 ptos]]="-","-",NIVEL_2[[#This Row],[Pase de Nivel 4,7 ptos]]&gt;=4.7,"CAMBIA A NIVEL 3",NIVEL_2[[#This Row],[Pase de Nivel 4,7 ptos]]&lt;=4.7,"-")</f>
        <v>-</v>
      </c>
    </row>
    <row r="9" spans="1:15" x14ac:dyDescent="0.3">
      <c r="A9" s="1">
        <f>MONTH(NIVEL_2[[#This Row],[Fecha de Evaluación]])</f>
        <v>2</v>
      </c>
      <c r="B9" s="12" t="str">
        <f>IF(NIVEL_2[[#This Row],['#]]&gt;0,"NIVEL 2","")</f>
        <v>NIVEL 2</v>
      </c>
      <c r="C9" s="12" t="str">
        <f>TEXT(NIVEL_2[[#This Row],[Fecha de Evaluación]],"MMMM")</f>
        <v>febrero</v>
      </c>
      <c r="D9" s="3">
        <v>46081</v>
      </c>
      <c r="E9" s="20" t="s">
        <v>84</v>
      </c>
      <c r="F9" s="1">
        <v>1104267144</v>
      </c>
      <c r="G9" s="1">
        <v>4</v>
      </c>
      <c r="H9" s="1">
        <v>4</v>
      </c>
      <c r="I9" s="1">
        <v>3</v>
      </c>
      <c r="J9" s="1">
        <v>3</v>
      </c>
      <c r="K9" s="1">
        <v>5</v>
      </c>
      <c r="L9" s="1">
        <v>4</v>
      </c>
      <c r="M9" s="1">
        <v>3</v>
      </c>
      <c r="N9" s="19">
        <f>IFERROR(AVERAGE('NIVEL 2'!G9:M9),"-")</f>
        <v>3.7142857142857144</v>
      </c>
      <c r="O9" s="18" t="str" cm="1">
        <f t="array" ref="O9">_xlfn.IFS(NIVEL_2[[#This Row],[Pase de Nivel 4,7 ptos]]="-","-",NIVEL_2[[#This Row],[Pase de Nivel 4,7 ptos]]&gt;=4.7,"CAMBIA A NIVEL 3",NIVEL_2[[#This Row],[Pase de Nivel 4,7 ptos]]&lt;=4.7,"-")</f>
        <v>-</v>
      </c>
    </row>
    <row r="10" spans="1:15" x14ac:dyDescent="0.3">
      <c r="A10" s="1">
        <f>MONTH(NIVEL_2[[#This Row],[Fecha de Evaluación]])</f>
        <v>2</v>
      </c>
      <c r="B10" s="12" t="str">
        <f>IF(NIVEL_2[[#This Row],['#]]&gt;0,"NIVEL 2","")</f>
        <v>NIVEL 2</v>
      </c>
      <c r="C10" s="12" t="str">
        <f>TEXT(NIVEL_2[[#This Row],[Fecha de Evaluación]],"MMMM")</f>
        <v>febrero</v>
      </c>
      <c r="D10" s="3">
        <v>46080</v>
      </c>
      <c r="E10" s="20" t="s">
        <v>83</v>
      </c>
      <c r="F10" s="1">
        <v>1138032549</v>
      </c>
      <c r="G10" s="1">
        <v>4</v>
      </c>
      <c r="H10" s="1">
        <v>5</v>
      </c>
      <c r="I10" s="1">
        <v>2</v>
      </c>
      <c r="J10" s="1">
        <v>3</v>
      </c>
      <c r="K10" s="1">
        <v>5</v>
      </c>
      <c r="L10" s="1">
        <v>4</v>
      </c>
      <c r="M10" s="1">
        <v>5</v>
      </c>
      <c r="N10" s="19">
        <f>IFERROR(AVERAGE('NIVEL 2'!G10:M10),"-")</f>
        <v>4</v>
      </c>
      <c r="O10" s="18" t="str" cm="1">
        <f t="array" ref="O10">_xlfn.IFS(NIVEL_2[[#This Row],[Pase de Nivel 4,7 ptos]]="-","-",NIVEL_2[[#This Row],[Pase de Nivel 4,7 ptos]]&gt;=4.7,"CAMBIA A NIVEL 3",NIVEL_2[[#This Row],[Pase de Nivel 4,7 ptos]]&lt;=4.7,"-")</f>
        <v>-</v>
      </c>
    </row>
    <row r="11" spans="1:15" x14ac:dyDescent="0.3">
      <c r="A11" s="1">
        <f>MONTH(NIVEL_2[[#This Row],[Fecha de Evaluación]])</f>
        <v>2</v>
      </c>
      <c r="B11" s="12" t="str">
        <f>IF(NIVEL_2[[#This Row],['#]]&gt;0,"NIVEL 2","")</f>
        <v>NIVEL 2</v>
      </c>
      <c r="C11" s="12" t="str">
        <f>TEXT(NIVEL_2[[#This Row],[Fecha de Evaluación]],"MMMM")</f>
        <v>febrero</v>
      </c>
      <c r="D11" s="3">
        <v>46081</v>
      </c>
      <c r="E11" s="20" t="s">
        <v>73</v>
      </c>
      <c r="F11" s="1">
        <v>1140444971</v>
      </c>
      <c r="G11" s="1">
        <v>5</v>
      </c>
      <c r="H11" s="1">
        <v>4</v>
      </c>
      <c r="I11" s="1">
        <v>4</v>
      </c>
      <c r="J11" s="1">
        <v>4</v>
      </c>
      <c r="K11" s="1">
        <v>3</v>
      </c>
      <c r="L11" s="1">
        <v>5</v>
      </c>
      <c r="M11" s="1">
        <v>2</v>
      </c>
      <c r="N11" s="19">
        <f>IFERROR(AVERAGE('NIVEL 2'!G11:M11),"-")</f>
        <v>3.8571428571428572</v>
      </c>
      <c r="O11" s="18" t="str" cm="1">
        <f t="array" ref="O11">_xlfn.IFS(NIVEL_2[[#This Row],[Pase de Nivel 4,7 ptos]]="-","-",NIVEL_2[[#This Row],[Pase de Nivel 4,7 ptos]]&gt;=4.7,"CAMBIA A NIVEL 3",NIVEL_2[[#This Row],[Pase de Nivel 4,7 ptos]]&lt;=4.7,"-")</f>
        <v>-</v>
      </c>
    </row>
    <row r="12" spans="1:15" x14ac:dyDescent="0.3">
      <c r="A12" s="45">
        <f>MONTH(NIVEL_2[[#This Row],[Fecha de Evaluación]])</f>
        <v>3</v>
      </c>
      <c r="B12" s="47" t="str">
        <f>IF(NIVEL_2[[#This Row],['#]]&gt;0,"NIVEL 2","")</f>
        <v>NIVEL 2</v>
      </c>
      <c r="C12" s="47" t="str">
        <f>TEXT(NIVEL_2[[#This Row],[Fecha de Evaluación]],"MMMM")</f>
        <v>marzo</v>
      </c>
      <c r="D12" s="42">
        <v>46110</v>
      </c>
      <c r="E12" s="43" t="s">
        <v>82</v>
      </c>
      <c r="F12" s="45">
        <v>1027663882</v>
      </c>
      <c r="G12" s="45">
        <v>4</v>
      </c>
      <c r="H12" s="45">
        <v>4</v>
      </c>
      <c r="I12" s="45">
        <v>4</v>
      </c>
      <c r="J12" s="45">
        <v>4</v>
      </c>
      <c r="K12" s="45">
        <v>3</v>
      </c>
      <c r="L12" s="45">
        <v>5</v>
      </c>
      <c r="M12" s="45">
        <v>3</v>
      </c>
      <c r="N12" s="19">
        <f>IFERROR(AVERAGE('NIVEL 2'!G12:M12),"-")</f>
        <v>3.8571428571428572</v>
      </c>
      <c r="O12" s="48" t="str" cm="1">
        <f t="array" ref="O12">_xlfn.IFS(NIVEL_2[[#This Row],[Pase de Nivel 4,7 ptos]]="-","-",NIVEL_2[[#This Row],[Pase de Nivel 4,7 ptos]]&gt;=4.7,"CAMBIA A NIVEL 3",NIVEL_2[[#This Row],[Pase de Nivel 4,7 ptos]]&lt;=4.7,"-")</f>
        <v>-</v>
      </c>
    </row>
    <row r="13" spans="1:15" x14ac:dyDescent="0.3">
      <c r="A13" s="45">
        <f>MONTH(NIVEL_2[[#This Row],[Fecha de Evaluación]])</f>
        <v>3</v>
      </c>
      <c r="B13" s="47" t="str">
        <f>IF(NIVEL_2[[#This Row],['#]]&gt;0,"NIVEL 2","")</f>
        <v>NIVEL 2</v>
      </c>
      <c r="C13" s="47" t="str">
        <f>TEXT(NIVEL_2[[#This Row],[Fecha de Evaluación]],"MMMM")</f>
        <v>marzo</v>
      </c>
      <c r="D13" s="42">
        <v>46110</v>
      </c>
      <c r="E13" s="43" t="s">
        <v>62</v>
      </c>
      <c r="F13" s="45">
        <v>1035003918</v>
      </c>
      <c r="G13" s="45">
        <v>5</v>
      </c>
      <c r="H13" s="45">
        <v>4</v>
      </c>
      <c r="I13" s="45">
        <v>4</v>
      </c>
      <c r="J13" s="45">
        <v>4</v>
      </c>
      <c r="K13" s="45">
        <v>4</v>
      </c>
      <c r="L13" s="45">
        <v>5</v>
      </c>
      <c r="M13" s="45">
        <v>2</v>
      </c>
      <c r="N13" s="19">
        <f>IFERROR(AVERAGE('NIVEL 2'!G13:M13),"-")</f>
        <v>4</v>
      </c>
      <c r="O13" s="48" t="str" cm="1">
        <f t="array" ref="O13">_xlfn.IFS(NIVEL_2[[#This Row],[Pase de Nivel 4,7 ptos]]="-","-",NIVEL_2[[#This Row],[Pase de Nivel 4,7 ptos]]&gt;=4.7,"CAMBIA A NIVEL 3",NIVEL_2[[#This Row],[Pase de Nivel 4,7 ptos]]&lt;=4.7,"-")</f>
        <v>-</v>
      </c>
    </row>
    <row r="14" spans="1:15" x14ac:dyDescent="0.3">
      <c r="A14" s="45">
        <f>MONTH(NIVEL_2[[#This Row],[Fecha de Evaluación]])</f>
        <v>3</v>
      </c>
      <c r="B14" s="47" t="str">
        <f>IF(NIVEL_2[[#This Row],['#]]&gt;0,"NIVEL 2","")</f>
        <v>NIVEL 2</v>
      </c>
      <c r="C14" s="47" t="str">
        <f>TEXT(NIVEL_2[[#This Row],[Fecha de Evaluación]],"MMMM")</f>
        <v>marzo</v>
      </c>
      <c r="D14" s="42">
        <v>46110</v>
      </c>
      <c r="E14" s="43" t="s">
        <v>111</v>
      </c>
      <c r="F14" s="45">
        <v>1062980565</v>
      </c>
      <c r="G14" s="45">
        <v>4</v>
      </c>
      <c r="H14" s="45">
        <v>4</v>
      </c>
      <c r="I14" s="45">
        <v>2</v>
      </c>
      <c r="J14" s="45">
        <v>3</v>
      </c>
      <c r="K14" s="45">
        <v>3</v>
      </c>
      <c r="L14" s="45">
        <v>5</v>
      </c>
      <c r="M14" s="45">
        <v>2</v>
      </c>
      <c r="N14" s="19">
        <f>IFERROR(AVERAGE('NIVEL 2'!G14:M14),"-")</f>
        <v>3.2857142857142856</v>
      </c>
      <c r="O14" s="48" t="str" cm="1">
        <f t="array" ref="O14">_xlfn.IFS(NIVEL_2[[#This Row],[Pase de Nivel 4,7 ptos]]="-","-",NIVEL_2[[#This Row],[Pase de Nivel 4,7 ptos]]&gt;=4.7,"CAMBIA A NIVEL 3",NIVEL_2[[#This Row],[Pase de Nivel 4,7 ptos]]&lt;=4.7,"-")</f>
        <v>-</v>
      </c>
    </row>
    <row r="15" spans="1:15" x14ac:dyDescent="0.3">
      <c r="A15" s="45">
        <f>MONTH(NIVEL_2[[#This Row],[Fecha de Evaluación]])</f>
        <v>3</v>
      </c>
      <c r="B15" s="47" t="str">
        <f>IF(NIVEL_2[[#This Row],['#]]&gt;0,"NIVEL 2","")</f>
        <v>NIVEL 2</v>
      </c>
      <c r="C15" s="47" t="str">
        <f>TEXT(NIVEL_2[[#This Row],[Fecha de Evaluación]],"MMMM")</f>
        <v>marzo</v>
      </c>
      <c r="D15" s="42">
        <v>46110</v>
      </c>
      <c r="E15" s="43" t="s">
        <v>81</v>
      </c>
      <c r="F15" s="45">
        <v>1062981643</v>
      </c>
      <c r="G15" s="45">
        <v>4</v>
      </c>
      <c r="H15" s="45">
        <v>5</v>
      </c>
      <c r="I15" s="45">
        <v>2</v>
      </c>
      <c r="J15" s="45">
        <v>3</v>
      </c>
      <c r="K15" s="45">
        <v>3</v>
      </c>
      <c r="L15" s="45">
        <v>4</v>
      </c>
      <c r="M15" s="45">
        <v>2</v>
      </c>
      <c r="N15" s="19">
        <f>IFERROR(AVERAGE('NIVEL 2'!G15:M15),"-")</f>
        <v>3.2857142857142856</v>
      </c>
      <c r="O15" s="48" t="str" cm="1">
        <f t="array" ref="O15">_xlfn.IFS(NIVEL_2[[#This Row],[Pase de Nivel 4,7 ptos]]="-","-",NIVEL_2[[#This Row],[Pase de Nivel 4,7 ptos]]&gt;=4.7,"CAMBIA A NIVEL 3",NIVEL_2[[#This Row],[Pase de Nivel 4,7 ptos]]&lt;=4.7,"-")</f>
        <v>-</v>
      </c>
    </row>
    <row r="16" spans="1:15" x14ac:dyDescent="0.3">
      <c r="A16" s="45">
        <f>MONTH(NIVEL_2[[#This Row],[Fecha de Evaluación]])</f>
        <v>3</v>
      </c>
      <c r="B16" s="47" t="str">
        <f>IF(NIVEL_2[[#This Row],['#]]&gt;0,"NIVEL 2","")</f>
        <v>NIVEL 2</v>
      </c>
      <c r="C16" s="47" t="str">
        <f>TEXT(NIVEL_2[[#This Row],[Fecha de Evaluación]],"MMMM")</f>
        <v>marzo</v>
      </c>
      <c r="D16" s="42">
        <v>46110</v>
      </c>
      <c r="E16" s="43" t="s">
        <v>112</v>
      </c>
      <c r="F16" s="45">
        <v>1066747786</v>
      </c>
      <c r="G16" s="45">
        <v>5</v>
      </c>
      <c r="H16" s="45">
        <v>4</v>
      </c>
      <c r="I16" s="45">
        <v>4</v>
      </c>
      <c r="J16" s="45">
        <v>4</v>
      </c>
      <c r="K16" s="45">
        <v>4</v>
      </c>
      <c r="L16" s="45">
        <v>5</v>
      </c>
      <c r="M16" s="45">
        <v>2</v>
      </c>
      <c r="N16" s="19">
        <f>IFERROR(AVERAGE('NIVEL 2'!G16:M16),"-")</f>
        <v>4</v>
      </c>
      <c r="O16" s="48" t="str" cm="1">
        <f t="array" ref="O16">_xlfn.IFS(NIVEL_2[[#This Row],[Pase de Nivel 4,7 ptos]]="-","-",NIVEL_2[[#This Row],[Pase de Nivel 4,7 ptos]]&gt;=4.7,"CAMBIA A NIVEL 3",NIVEL_2[[#This Row],[Pase de Nivel 4,7 ptos]]&lt;=4.7,"-")</f>
        <v>-</v>
      </c>
    </row>
    <row r="17" spans="1:15" x14ac:dyDescent="0.3">
      <c r="A17" s="45">
        <f>MONTH(NIVEL_2[[#This Row],[Fecha de Evaluación]])</f>
        <v>3</v>
      </c>
      <c r="B17" s="47" t="str">
        <f>IF(NIVEL_2[[#This Row],['#]]&gt;0,"NIVEL 2","")</f>
        <v>NIVEL 2</v>
      </c>
      <c r="C17" s="47" t="str">
        <f>TEXT(NIVEL_2[[#This Row],[Fecha de Evaluación]],"MMMM")</f>
        <v>marzo</v>
      </c>
      <c r="D17" s="42">
        <v>46111</v>
      </c>
      <c r="E17" s="43" t="s">
        <v>65</v>
      </c>
      <c r="F17" s="45">
        <v>1067859838</v>
      </c>
      <c r="G17" s="45">
        <v>4</v>
      </c>
      <c r="H17" s="45">
        <v>4</v>
      </c>
      <c r="I17" s="45">
        <v>2</v>
      </c>
      <c r="J17" s="45">
        <v>4</v>
      </c>
      <c r="K17" s="45">
        <v>4</v>
      </c>
      <c r="L17" s="45">
        <v>5</v>
      </c>
      <c r="M17" s="45">
        <v>1</v>
      </c>
      <c r="N17" s="19">
        <f>IFERROR(AVERAGE('NIVEL 2'!G17:M17),"-")</f>
        <v>3.4285714285714284</v>
      </c>
      <c r="O17" s="48" t="str" cm="1">
        <f t="array" ref="O17">_xlfn.IFS(NIVEL_2[[#This Row],[Pase de Nivel 4,7 ptos]]="-","-",NIVEL_2[[#This Row],[Pase de Nivel 4,7 ptos]]&gt;=4.7,"CAMBIA A NIVEL 3",NIVEL_2[[#This Row],[Pase de Nivel 4,7 ptos]]&lt;=4.7,"-")</f>
        <v>-</v>
      </c>
    </row>
    <row r="18" spans="1:15" x14ac:dyDescent="0.3">
      <c r="A18" s="45">
        <f>MONTH(NIVEL_2[[#This Row],[Fecha de Evaluación]])</f>
        <v>3</v>
      </c>
      <c r="B18" s="47" t="str">
        <f>IF(NIVEL_2[[#This Row],['#]]&gt;0,"NIVEL 2","")</f>
        <v>NIVEL 2</v>
      </c>
      <c r="C18" s="47" t="str">
        <f>TEXT(NIVEL_2[[#This Row],[Fecha de Evaluación]],"MMMM")</f>
        <v>marzo</v>
      </c>
      <c r="D18" s="42">
        <v>46110</v>
      </c>
      <c r="E18" s="43" t="s">
        <v>113</v>
      </c>
      <c r="F18" s="45">
        <v>1068439668</v>
      </c>
      <c r="G18" s="45">
        <v>5</v>
      </c>
      <c r="H18" s="45">
        <v>5</v>
      </c>
      <c r="I18" s="45">
        <v>4</v>
      </c>
      <c r="J18" s="45">
        <v>4</v>
      </c>
      <c r="K18" s="45">
        <v>3</v>
      </c>
      <c r="L18" s="45">
        <v>5</v>
      </c>
      <c r="M18" s="45">
        <v>3</v>
      </c>
      <c r="N18" s="19">
        <f>IFERROR(AVERAGE('NIVEL 2'!G18:M18),"-")</f>
        <v>4.1428571428571432</v>
      </c>
      <c r="O18" s="48" t="str" cm="1">
        <f t="array" ref="O18">_xlfn.IFS(NIVEL_2[[#This Row],[Pase de Nivel 4,7 ptos]]="-","-",NIVEL_2[[#This Row],[Pase de Nivel 4,7 ptos]]&gt;=4.7,"CAMBIA A NIVEL 3",NIVEL_2[[#This Row],[Pase de Nivel 4,7 ptos]]&lt;=4.7,"-")</f>
        <v>-</v>
      </c>
    </row>
    <row r="19" spans="1:15" x14ac:dyDescent="0.3">
      <c r="A19" s="45">
        <f>MONTH(NIVEL_2[[#This Row],[Fecha de Evaluación]])</f>
        <v>3</v>
      </c>
      <c r="B19" s="47" t="str">
        <f>IF(NIVEL_2[[#This Row],['#]]&gt;0,"NIVEL 2","")</f>
        <v>NIVEL 2</v>
      </c>
      <c r="C19" s="47" t="str">
        <f>TEXT(NIVEL_2[[#This Row],[Fecha de Evaluación]],"MMMM")</f>
        <v>marzo</v>
      </c>
      <c r="D19" s="42">
        <v>46110</v>
      </c>
      <c r="E19" s="43" t="s">
        <v>72</v>
      </c>
      <c r="F19" s="45">
        <v>1073817245</v>
      </c>
      <c r="G19" s="45">
        <v>5</v>
      </c>
      <c r="H19" s="45">
        <v>4</v>
      </c>
      <c r="I19" s="45">
        <v>2</v>
      </c>
      <c r="J19" s="45">
        <v>3</v>
      </c>
      <c r="K19" s="45">
        <v>2</v>
      </c>
      <c r="L19" s="45">
        <v>5</v>
      </c>
      <c r="M19" s="45">
        <v>2</v>
      </c>
      <c r="N19" s="19">
        <f>IFERROR(AVERAGE('NIVEL 2'!G19:M19),"-")</f>
        <v>3.2857142857142856</v>
      </c>
      <c r="O19" s="48" t="str" cm="1">
        <f t="array" ref="O19">_xlfn.IFS(NIVEL_2[[#This Row],[Pase de Nivel 4,7 ptos]]="-","-",NIVEL_2[[#This Row],[Pase de Nivel 4,7 ptos]]&gt;=4.7,"CAMBIA A NIVEL 3",NIVEL_2[[#This Row],[Pase de Nivel 4,7 ptos]]&lt;=4.7,"-")</f>
        <v>-</v>
      </c>
    </row>
    <row r="20" spans="1:15" x14ac:dyDescent="0.3">
      <c r="A20" s="45">
        <f>MONTH(NIVEL_2[[#This Row],[Fecha de Evaluación]])</f>
        <v>3</v>
      </c>
      <c r="B20" s="47" t="str">
        <f>IF(NIVEL_2[[#This Row],['#]]&gt;0,"NIVEL 2","")</f>
        <v>NIVEL 2</v>
      </c>
      <c r="C20" s="47" t="str">
        <f>TEXT(NIVEL_2[[#This Row],[Fecha de Evaluación]],"MMMM")</f>
        <v>marzo</v>
      </c>
      <c r="D20" s="42">
        <v>46110</v>
      </c>
      <c r="E20" s="43" t="s">
        <v>84</v>
      </c>
      <c r="F20" s="45">
        <v>1104267144</v>
      </c>
      <c r="G20" s="45">
        <v>4</v>
      </c>
      <c r="H20" s="45">
        <v>4</v>
      </c>
      <c r="I20" s="45">
        <v>3</v>
      </c>
      <c r="J20" s="45">
        <v>3</v>
      </c>
      <c r="K20" s="45">
        <v>5</v>
      </c>
      <c r="L20" s="45">
        <v>4</v>
      </c>
      <c r="M20" s="45">
        <v>3</v>
      </c>
      <c r="N20" s="19">
        <f>IFERROR(AVERAGE('NIVEL 2'!G20:M20),"-")</f>
        <v>3.7142857142857144</v>
      </c>
      <c r="O20" s="48" t="str" cm="1">
        <f t="array" ref="O20">_xlfn.IFS(NIVEL_2[[#This Row],[Pase de Nivel 4,7 ptos]]="-","-",NIVEL_2[[#This Row],[Pase de Nivel 4,7 ptos]]&gt;=4.7,"CAMBIA A NIVEL 3",NIVEL_2[[#This Row],[Pase de Nivel 4,7 ptos]]&lt;=4.7,"-")</f>
        <v>-</v>
      </c>
    </row>
    <row r="21" spans="1:15" x14ac:dyDescent="0.3">
      <c r="A21" s="45">
        <f>MONTH(NIVEL_2[[#This Row],[Fecha de Evaluación]])</f>
        <v>3</v>
      </c>
      <c r="B21" s="47" t="str">
        <f>IF(NIVEL_2[[#This Row],['#]]&gt;0,"NIVEL 2","")</f>
        <v>NIVEL 2</v>
      </c>
      <c r="C21" s="47" t="str">
        <f>TEXT(NIVEL_2[[#This Row],[Fecha de Evaluación]],"MMMM")</f>
        <v>marzo</v>
      </c>
      <c r="D21" s="42">
        <v>46110</v>
      </c>
      <c r="E21" s="43" t="s">
        <v>114</v>
      </c>
      <c r="F21" s="45">
        <v>1138031207</v>
      </c>
      <c r="G21" s="45">
        <v>5</v>
      </c>
      <c r="H21" s="45">
        <v>4</v>
      </c>
      <c r="I21" s="45">
        <v>3</v>
      </c>
      <c r="J21" s="45">
        <v>3</v>
      </c>
      <c r="K21" s="45">
        <v>3</v>
      </c>
      <c r="L21" s="45">
        <v>5</v>
      </c>
      <c r="M21" s="45">
        <v>3</v>
      </c>
      <c r="N21" s="19">
        <f>IFERROR(AVERAGE('NIVEL 2'!G21:M21),"-")</f>
        <v>3.7142857142857144</v>
      </c>
      <c r="O21" s="48" t="str" cm="1">
        <f t="array" ref="O21">_xlfn.IFS(NIVEL_2[[#This Row],[Pase de Nivel 4,7 ptos]]="-","-",NIVEL_2[[#This Row],[Pase de Nivel 4,7 ptos]]&gt;=4.7,"CAMBIA A NIVEL 3",NIVEL_2[[#This Row],[Pase de Nivel 4,7 ptos]]&lt;=4.7,"-")</f>
        <v>-</v>
      </c>
    </row>
    <row r="22" spans="1:15" x14ac:dyDescent="0.3">
      <c r="A22" s="45">
        <f>MONTH(NIVEL_2[[#This Row],[Fecha de Evaluación]])</f>
        <v>3</v>
      </c>
      <c r="B22" s="47" t="str">
        <f>IF(NIVEL_2[[#This Row],['#]]&gt;0,"NIVEL 2","")</f>
        <v>NIVEL 2</v>
      </c>
      <c r="C22" s="47" t="str">
        <f>TEXT(NIVEL_2[[#This Row],[Fecha de Evaluación]],"MMMM")</f>
        <v>marzo</v>
      </c>
      <c r="D22" s="42">
        <v>46110</v>
      </c>
      <c r="E22" s="43" t="s">
        <v>83</v>
      </c>
      <c r="F22" s="45">
        <v>1138032549</v>
      </c>
      <c r="G22" s="45">
        <v>4</v>
      </c>
      <c r="H22" s="45">
        <v>5</v>
      </c>
      <c r="I22" s="45">
        <v>3</v>
      </c>
      <c r="J22" s="45">
        <v>3</v>
      </c>
      <c r="K22" s="45">
        <v>5</v>
      </c>
      <c r="L22" s="45">
        <v>5</v>
      </c>
      <c r="M22" s="45">
        <v>5</v>
      </c>
      <c r="N22" s="19">
        <f>IFERROR(AVERAGE('NIVEL 2'!G22:M22),"-")</f>
        <v>4.2857142857142856</v>
      </c>
      <c r="O22" s="48" t="str" cm="1">
        <f t="array" ref="O22">_xlfn.IFS(NIVEL_2[[#This Row],[Pase de Nivel 4,7 ptos]]="-","-",NIVEL_2[[#This Row],[Pase de Nivel 4,7 ptos]]&gt;=4.7,"CAMBIA A NIVEL 3",NIVEL_2[[#This Row],[Pase de Nivel 4,7 ptos]]&lt;=4.7,"-")</f>
        <v>-</v>
      </c>
    </row>
    <row r="23" spans="1:15" x14ac:dyDescent="0.3">
      <c r="A23" s="45">
        <f>MONTH(NIVEL_2[[#This Row],[Fecha de Evaluación]])</f>
        <v>3</v>
      </c>
      <c r="B23" s="47" t="str">
        <f>IF(NIVEL_2[[#This Row],['#]]&gt;0,"NIVEL 2","")</f>
        <v>NIVEL 2</v>
      </c>
      <c r="C23" s="47" t="str">
        <f>TEXT(NIVEL_2[[#This Row],[Fecha de Evaluación]],"MMMM")</f>
        <v>marzo</v>
      </c>
      <c r="D23" s="42">
        <v>46110</v>
      </c>
      <c r="E23" s="43" t="s">
        <v>73</v>
      </c>
      <c r="F23" s="45">
        <v>1140444971</v>
      </c>
      <c r="G23" s="45">
        <v>5</v>
      </c>
      <c r="H23" s="45">
        <v>4</v>
      </c>
      <c r="I23" s="45">
        <v>4</v>
      </c>
      <c r="J23" s="45">
        <v>4</v>
      </c>
      <c r="K23" s="45">
        <v>3</v>
      </c>
      <c r="L23" s="45">
        <v>5</v>
      </c>
      <c r="M23" s="45">
        <v>3</v>
      </c>
      <c r="N23" s="19">
        <f>IFERROR(AVERAGE('NIVEL 2'!G23:M23),"-")</f>
        <v>4</v>
      </c>
      <c r="O23" s="48" t="str" cm="1">
        <f t="array" ref="O23">_xlfn.IFS(NIVEL_2[[#This Row],[Pase de Nivel 4,7 ptos]]="-","-",NIVEL_2[[#This Row],[Pase de Nivel 4,7 ptos]]&gt;=4.7,"CAMBIA A NIVEL 3",NIVEL_2[[#This Row],[Pase de Nivel 4,7 ptos]]&lt;=4.7,"-")</f>
        <v>-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fitToHeight="0"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C3182-AD8E-41EF-B06A-FBEBB84B7227}">
  <sheetPr>
    <pageSetUpPr fitToPage="1"/>
  </sheetPr>
  <dimension ref="A1:U6"/>
  <sheetViews>
    <sheetView tabSelected="1" workbookViewId="0">
      <pane ySplit="2" topLeftCell="A3" activePane="bottomLeft" state="frozenSplit"/>
      <selection activeCell="Q154" sqref="Q154"/>
      <selection pane="bottomLeft" activeCell="Q10" sqref="Q10"/>
    </sheetView>
  </sheetViews>
  <sheetFormatPr baseColWidth="10" defaultColWidth="10.6640625" defaultRowHeight="14.4" x14ac:dyDescent="0.3"/>
  <cols>
    <col min="1" max="1" width="5.33203125" customWidth="1"/>
    <col min="2" max="2" width="6" style="1" customWidth="1"/>
    <col min="3" max="3" width="8.109375" bestFit="1" customWidth="1"/>
    <col min="4" max="4" width="12.6640625" style="1" bestFit="1" customWidth="1"/>
    <col min="5" max="5" width="29" style="2" bestFit="1" customWidth="1"/>
    <col min="6" max="6" width="11" style="2" customWidth="1"/>
    <col min="7" max="7" width="7.88671875" style="2" bestFit="1" customWidth="1"/>
    <col min="8" max="8" width="9" style="2" customWidth="1"/>
    <col min="9" max="9" width="8.5546875" style="2" customWidth="1"/>
    <col min="10" max="10" width="8.33203125" style="2" customWidth="1"/>
    <col min="11" max="11" width="7.88671875" style="2" customWidth="1"/>
    <col min="12" max="12" width="6.33203125" style="2" customWidth="1"/>
    <col min="13" max="13" width="9.5546875" style="2" customWidth="1"/>
    <col min="14" max="14" width="7.88671875" style="2" customWidth="1"/>
    <col min="15" max="15" width="7.33203125" style="2" customWidth="1"/>
    <col min="16" max="17" width="5.5546875" style="2" customWidth="1"/>
    <col min="18" max="18" width="6.44140625" style="2" customWidth="1"/>
    <col min="19" max="19" width="7.33203125" style="1" customWidth="1"/>
    <col min="20" max="20" width="5.6640625" customWidth="1"/>
    <col min="21" max="21" width="18.33203125" bestFit="1" customWidth="1"/>
  </cols>
  <sheetData>
    <row r="1" spans="1:21" x14ac:dyDescent="0.3">
      <c r="E1" s="28" t="s">
        <v>59</v>
      </c>
      <c r="F1" s="33" t="s">
        <v>33</v>
      </c>
      <c r="G1" s="33"/>
      <c r="H1" s="33"/>
      <c r="I1" s="33"/>
      <c r="J1" s="33"/>
      <c r="K1" s="33"/>
      <c r="L1" s="33"/>
      <c r="M1" s="33"/>
      <c r="N1" s="33"/>
      <c r="O1" s="33"/>
      <c r="P1" s="31"/>
      <c r="Q1" s="31"/>
      <c r="R1" s="31"/>
      <c r="S1" s="31"/>
    </row>
    <row r="2" spans="1:21" ht="40.799999999999997" x14ac:dyDescent="0.3">
      <c r="A2" s="7" t="s">
        <v>61</v>
      </c>
      <c r="B2" s="13" t="s">
        <v>47</v>
      </c>
      <c r="C2" s="7" t="s">
        <v>34</v>
      </c>
      <c r="D2" s="7" t="s">
        <v>11</v>
      </c>
      <c r="E2" s="11" t="s">
        <v>0</v>
      </c>
      <c r="F2" s="8" t="s">
        <v>1</v>
      </c>
      <c r="G2" s="8" t="s">
        <v>17</v>
      </c>
      <c r="H2" s="8" t="s">
        <v>18</v>
      </c>
      <c r="I2" s="8" t="s">
        <v>19</v>
      </c>
      <c r="J2" s="8" t="s">
        <v>29</v>
      </c>
      <c r="K2" s="8" t="s">
        <v>20</v>
      </c>
      <c r="L2" s="8" t="s">
        <v>28</v>
      </c>
      <c r="M2" s="8" t="s">
        <v>27</v>
      </c>
      <c r="N2" s="8" t="s">
        <v>32</v>
      </c>
      <c r="O2" s="8" t="s">
        <v>21</v>
      </c>
      <c r="P2" s="8" t="s">
        <v>24</v>
      </c>
      <c r="Q2" s="8" t="s">
        <v>25</v>
      </c>
      <c r="R2" s="8" t="s">
        <v>22</v>
      </c>
      <c r="S2" s="8" t="s">
        <v>26</v>
      </c>
      <c r="T2" s="8" t="s">
        <v>23</v>
      </c>
      <c r="U2" s="11" t="s">
        <v>10</v>
      </c>
    </row>
    <row r="3" spans="1:21" s="15" customFormat="1" x14ac:dyDescent="0.3">
      <c r="A3" s="36">
        <f>MONTH(NIVEL_3[[#This Row],[Fecha de Evaluación]])</f>
        <v>1</v>
      </c>
      <c r="B3" s="12" t="str">
        <f>IF(NIVEL_3[[#This Row],['#]]&gt;0,"NIVEL 3","")</f>
        <v>NIVEL 3</v>
      </c>
      <c r="C3" s="37" t="str">
        <f>TEXT(NIVEL_3[[#This Row],[Fecha de Evaluación]],"MMMM")</f>
        <v>enero</v>
      </c>
      <c r="D3" s="21">
        <v>46050</v>
      </c>
      <c r="E3" s="22" t="s">
        <v>74</v>
      </c>
      <c r="F3" s="23">
        <v>10966252</v>
      </c>
      <c r="G3" s="23">
        <v>5</v>
      </c>
      <c r="H3" s="23">
        <v>5</v>
      </c>
      <c r="I3" s="23">
        <v>5</v>
      </c>
      <c r="J3" s="23">
        <v>5</v>
      </c>
      <c r="K3" s="23">
        <v>5</v>
      </c>
      <c r="L3" s="23">
        <v>5</v>
      </c>
      <c r="M3" s="23">
        <v>5</v>
      </c>
      <c r="N3" s="23">
        <v>5</v>
      </c>
      <c r="O3" s="23">
        <v>4</v>
      </c>
      <c r="P3" s="23">
        <v>5</v>
      </c>
      <c r="Q3" s="23">
        <v>5</v>
      </c>
      <c r="R3" s="23">
        <v>5</v>
      </c>
      <c r="S3" s="23">
        <v>5</v>
      </c>
      <c r="T3" s="24">
        <f>IFERROR(AVERAGE(G3:S3),"-")</f>
        <v>4.9230769230769234</v>
      </c>
      <c r="U3" s="32" t="str" cm="1">
        <f t="array" ref="U3">_xlfn.IFS(NIVEL_3[[#This Row],[Pase de Nivel 4,9 ptos]]="-","-",NIVEL_3[[#This Row],[Pase de Nivel 4,9 ptos]]&gt;=4.9,"CAMBIA A EQUIPO",NIVEL_3[[#This Row],[Pase de Nivel 4,9 ptos]]&lt;=4.9,"-")</f>
        <v>CAMBIA A EQUIPO</v>
      </c>
    </row>
    <row r="4" spans="1:21" x14ac:dyDescent="0.3">
      <c r="A4" s="36">
        <f>MONTH(NIVEL_3[[#This Row],[Fecha de Evaluación]])</f>
        <v>1</v>
      </c>
      <c r="B4" s="12" t="str">
        <f>IF(NIVEL_3[[#This Row],['#]]&gt;0,"NIVEL 3","")</f>
        <v>NIVEL 3</v>
      </c>
      <c r="C4" s="37" t="str">
        <f>TEXT(NIVEL_3[[#This Row],[Fecha de Evaluación]],"MMMM")</f>
        <v>enero</v>
      </c>
      <c r="D4" s="21">
        <v>46050</v>
      </c>
      <c r="E4" s="22" t="s">
        <v>75</v>
      </c>
      <c r="F4" s="23">
        <v>1064990474</v>
      </c>
      <c r="G4" s="23">
        <v>5</v>
      </c>
      <c r="H4" s="23">
        <v>5</v>
      </c>
      <c r="I4" s="23">
        <v>5</v>
      </c>
      <c r="J4" s="23">
        <v>5</v>
      </c>
      <c r="K4" s="23">
        <v>4</v>
      </c>
      <c r="L4" s="23">
        <v>5</v>
      </c>
      <c r="M4" s="23">
        <v>5</v>
      </c>
      <c r="N4" s="23">
        <v>5</v>
      </c>
      <c r="O4" s="23">
        <v>5</v>
      </c>
      <c r="P4" s="23">
        <v>5</v>
      </c>
      <c r="Q4" s="23">
        <v>5</v>
      </c>
      <c r="R4" s="23">
        <v>5</v>
      </c>
      <c r="S4" s="23">
        <v>5</v>
      </c>
      <c r="T4" s="24">
        <f t="shared" ref="T4:T5" si="0">IFERROR(AVERAGE(G4:S4),"-")</f>
        <v>4.9230769230769234</v>
      </c>
      <c r="U4" s="32" t="str" cm="1">
        <f t="array" ref="U4">_xlfn.IFS(NIVEL_3[[#This Row],[Pase de Nivel 4,9 ptos]]="-","-",NIVEL_3[[#This Row],[Pase de Nivel 4,9 ptos]]&gt;=4.9,"CAMBIA A EQUIPO",NIVEL_3[[#This Row],[Pase de Nivel 4,9 ptos]]&lt;=4.9,"-")</f>
        <v>CAMBIA A EQUIPO</v>
      </c>
    </row>
    <row r="5" spans="1:21" x14ac:dyDescent="0.3">
      <c r="A5" s="36">
        <f>MONTH(NIVEL_3[[#This Row],[Fecha de Evaluación]])</f>
        <v>2</v>
      </c>
      <c r="B5" s="12" t="str">
        <f>IF(NIVEL_3[[#This Row],['#]]&gt;0,"NIVEL 3","")</f>
        <v>NIVEL 3</v>
      </c>
      <c r="C5" s="37" t="str">
        <f>TEXT(NIVEL_3[[#This Row],[Fecha de Evaluación]],"MMMM")</f>
        <v>febrero</v>
      </c>
      <c r="D5" s="3">
        <v>46081</v>
      </c>
      <c r="E5" s="22" t="s">
        <v>85</v>
      </c>
      <c r="F5" s="23">
        <v>1062539643</v>
      </c>
      <c r="G5" s="23">
        <v>4</v>
      </c>
      <c r="H5" s="23">
        <v>4</v>
      </c>
      <c r="I5" s="23">
        <v>5</v>
      </c>
      <c r="J5" s="23">
        <v>5</v>
      </c>
      <c r="K5" s="23">
        <v>4</v>
      </c>
      <c r="L5" s="23">
        <v>3</v>
      </c>
      <c r="M5" s="23">
        <v>5</v>
      </c>
      <c r="N5" s="23">
        <v>4</v>
      </c>
      <c r="O5" s="23">
        <v>4</v>
      </c>
      <c r="P5" s="23">
        <v>5</v>
      </c>
      <c r="Q5" s="23">
        <v>3</v>
      </c>
      <c r="R5" s="23">
        <v>3</v>
      </c>
      <c r="S5" s="23">
        <v>4</v>
      </c>
      <c r="T5" s="24">
        <f t="shared" si="0"/>
        <v>4.0769230769230766</v>
      </c>
      <c r="U5" s="32" t="str" cm="1">
        <f t="array" ref="U5">_xlfn.IFS(NIVEL_3[[#This Row],[Pase de Nivel 4,9 ptos]]="-","-",NIVEL_3[[#This Row],[Pase de Nivel 4,9 ptos]]&gt;=4.9,"CAMBIA A EQUIPO",NIVEL_3[[#This Row],[Pase de Nivel 4,9 ptos]]&lt;=4.9,"-")</f>
        <v>-</v>
      </c>
    </row>
    <row r="6" spans="1:21" x14ac:dyDescent="0.3">
      <c r="A6" s="49">
        <f>MONTH(NIVEL_3[[#This Row],[Fecha de Evaluación]])</f>
        <v>3</v>
      </c>
      <c r="B6" s="41" t="str">
        <f>IF(NIVEL_3[[#This Row],['#]]&gt;0,"NIVEL 3","")</f>
        <v>NIVEL 3</v>
      </c>
      <c r="C6" s="50" t="str">
        <f>TEXT(NIVEL_3[[#This Row],[Fecha de Evaluación]],"MMMM")</f>
        <v>marzo</v>
      </c>
      <c r="D6" s="51">
        <v>46110</v>
      </c>
      <c r="E6" s="52" t="s">
        <v>85</v>
      </c>
      <c r="F6" s="53">
        <v>1062539643</v>
      </c>
      <c r="G6" s="53">
        <v>4</v>
      </c>
      <c r="H6" s="53">
        <v>4</v>
      </c>
      <c r="I6" s="53">
        <v>5</v>
      </c>
      <c r="J6" s="53">
        <v>5</v>
      </c>
      <c r="K6" s="53">
        <v>4</v>
      </c>
      <c r="L6" s="53">
        <v>3</v>
      </c>
      <c r="M6" s="53">
        <v>5</v>
      </c>
      <c r="N6" s="53">
        <v>4</v>
      </c>
      <c r="O6" s="53">
        <v>4</v>
      </c>
      <c r="P6" s="53">
        <v>5</v>
      </c>
      <c r="Q6" s="53">
        <v>3</v>
      </c>
      <c r="R6" s="53">
        <v>3</v>
      </c>
      <c r="S6" s="53">
        <v>4</v>
      </c>
      <c r="T6" s="54">
        <f>IFERROR(AVERAGE(G6:S6),"-")</f>
        <v>4.0769230769230766</v>
      </c>
      <c r="U6" s="55" t="str" cm="1">
        <f t="array" ref="U6">_xlfn.IFS(NIVEL_3[[#This Row],[Pase de Nivel 4,9 ptos]]="-","-",NIVEL_3[[#This Row],[Pase de Nivel 4,9 ptos]]&gt;=4.9,"CAMBIA A EQUIPO",NIVEL_3[[#This Row],[Pase de Nivel 4,9 ptos]]&lt;=4.9,"-")</f>
        <v>-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scale="78" fitToHeight="0" orientation="portrait" r:id="rId1"/>
  <ignoredErrors>
    <ignoredError sqref="T4:T5" formulaRange="1"/>
  </ignoredErrors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7A043-60BD-42EB-8812-8C965C3F105F}">
  <sheetPr>
    <pageSetUpPr fitToPage="1"/>
  </sheetPr>
  <dimension ref="A2:D138"/>
  <sheetViews>
    <sheetView workbookViewId="0">
      <selection activeCell="D20" sqref="D20"/>
    </sheetView>
  </sheetViews>
  <sheetFormatPr baseColWidth="10" defaultColWidth="10.6640625" defaultRowHeight="14.4" x14ac:dyDescent="0.3"/>
  <cols>
    <col min="1" max="1" width="6.6640625" bestFit="1" customWidth="1"/>
    <col min="2" max="2" width="6" bestFit="1" customWidth="1"/>
    <col min="3" max="3" width="8.109375" bestFit="1" customWidth="1"/>
    <col min="4" max="4" width="29.5546875" customWidth="1"/>
  </cols>
  <sheetData>
    <row r="2" spans="1:4" x14ac:dyDescent="0.3">
      <c r="A2" s="7" t="s">
        <v>60</v>
      </c>
      <c r="B2" s="13" t="s">
        <v>47</v>
      </c>
      <c r="C2" s="4" t="s">
        <v>34</v>
      </c>
      <c r="D2" s="14" t="s">
        <v>0</v>
      </c>
    </row>
    <row r="3" spans="1:4" x14ac:dyDescent="0.3">
      <c r="A3" s="26"/>
      <c r="B3" s="12" t="s">
        <v>98</v>
      </c>
      <c r="C3" s="12" t="s">
        <v>36</v>
      </c>
      <c r="D3" s="27" t="s">
        <v>86</v>
      </c>
    </row>
    <row r="4" spans="1:4" x14ac:dyDescent="0.3">
      <c r="A4" s="26"/>
      <c r="B4" s="12" t="s">
        <v>98</v>
      </c>
      <c r="C4" s="12" t="s">
        <v>36</v>
      </c>
      <c r="D4" s="27" t="s">
        <v>87</v>
      </c>
    </row>
    <row r="5" spans="1:4" x14ac:dyDescent="0.3">
      <c r="A5" s="26"/>
      <c r="B5" s="12" t="s">
        <v>98</v>
      </c>
      <c r="C5" s="12" t="s">
        <v>36</v>
      </c>
      <c r="D5" s="27" t="s">
        <v>74</v>
      </c>
    </row>
    <row r="6" spans="1:4" x14ac:dyDescent="0.3">
      <c r="A6" s="26"/>
      <c r="B6" s="12" t="s">
        <v>98</v>
      </c>
      <c r="C6" s="12" t="s">
        <v>36</v>
      </c>
      <c r="D6" s="27" t="s">
        <v>88</v>
      </c>
    </row>
    <row r="7" spans="1:4" x14ac:dyDescent="0.3">
      <c r="A7" s="26"/>
      <c r="B7" s="12" t="s">
        <v>98</v>
      </c>
      <c r="C7" s="12" t="s">
        <v>36</v>
      </c>
      <c r="D7" s="27" t="s">
        <v>89</v>
      </c>
    </row>
    <row r="8" spans="1:4" x14ac:dyDescent="0.3">
      <c r="A8" s="26"/>
      <c r="B8" s="12" t="s">
        <v>98</v>
      </c>
      <c r="C8" s="12" t="s">
        <v>36</v>
      </c>
      <c r="D8" s="27" t="s">
        <v>75</v>
      </c>
    </row>
    <row r="9" spans="1:4" x14ac:dyDescent="0.3">
      <c r="A9" s="26"/>
      <c r="B9" s="12" t="s">
        <v>98</v>
      </c>
      <c r="C9" s="12" t="s">
        <v>36</v>
      </c>
      <c r="D9" s="27" t="s">
        <v>90</v>
      </c>
    </row>
    <row r="10" spans="1:4" x14ac:dyDescent="0.3">
      <c r="A10" s="26"/>
      <c r="B10" s="12" t="s">
        <v>98</v>
      </c>
      <c r="C10" s="12" t="s">
        <v>36</v>
      </c>
      <c r="D10" s="27" t="s">
        <v>91</v>
      </c>
    </row>
    <row r="11" spans="1:4" x14ac:dyDescent="0.3">
      <c r="A11" s="26"/>
      <c r="B11" s="12" t="s">
        <v>98</v>
      </c>
      <c r="C11" s="12" t="s">
        <v>36</v>
      </c>
      <c r="D11" s="27" t="s">
        <v>92</v>
      </c>
    </row>
    <row r="12" spans="1:4" x14ac:dyDescent="0.3">
      <c r="A12" s="26"/>
      <c r="B12" s="12" t="s">
        <v>98</v>
      </c>
      <c r="C12" s="12" t="s">
        <v>36</v>
      </c>
      <c r="D12" s="27" t="s">
        <v>93</v>
      </c>
    </row>
    <row r="13" spans="1:4" x14ac:dyDescent="0.3">
      <c r="A13" s="26"/>
      <c r="B13" s="12" t="s">
        <v>98</v>
      </c>
      <c r="C13" s="12" t="s">
        <v>36</v>
      </c>
      <c r="D13" s="27" t="s">
        <v>94</v>
      </c>
    </row>
    <row r="14" spans="1:4" x14ac:dyDescent="0.3">
      <c r="A14" s="26"/>
      <c r="B14" s="12" t="s">
        <v>98</v>
      </c>
      <c r="C14" s="12" t="s">
        <v>36</v>
      </c>
      <c r="D14" s="27" t="s">
        <v>95</v>
      </c>
    </row>
    <row r="15" spans="1:4" x14ac:dyDescent="0.3">
      <c r="A15" s="26"/>
      <c r="B15" s="12" t="s">
        <v>98</v>
      </c>
      <c r="C15" s="12" t="s">
        <v>36</v>
      </c>
      <c r="D15" s="27" t="s">
        <v>96</v>
      </c>
    </row>
    <row r="16" spans="1:4" x14ac:dyDescent="0.3">
      <c r="A16" s="26"/>
      <c r="B16" s="12" t="s">
        <v>98</v>
      </c>
      <c r="C16" s="12" t="s">
        <v>36</v>
      </c>
      <c r="D16" s="27" t="s">
        <v>97</v>
      </c>
    </row>
    <row r="17" spans="1:4" x14ac:dyDescent="0.3">
      <c r="A17" s="26"/>
      <c r="B17" s="12"/>
      <c r="C17" s="12"/>
      <c r="D17" s="27"/>
    </row>
    <row r="18" spans="1:4" x14ac:dyDescent="0.3">
      <c r="A18" s="26"/>
      <c r="B18" s="12"/>
      <c r="C18" s="12"/>
      <c r="D18" s="27"/>
    </row>
    <row r="19" spans="1:4" x14ac:dyDescent="0.3">
      <c r="A19" s="26"/>
      <c r="B19" s="12"/>
      <c r="C19" s="12"/>
      <c r="D19" s="38"/>
    </row>
    <row r="20" spans="1:4" x14ac:dyDescent="0.3">
      <c r="A20" s="26"/>
      <c r="B20" s="12"/>
      <c r="C20" s="12"/>
      <c r="D20" s="38"/>
    </row>
    <row r="21" spans="1:4" x14ac:dyDescent="0.3">
      <c r="A21" s="26"/>
      <c r="B21" s="12"/>
      <c r="C21" s="12"/>
      <c r="D21" s="38"/>
    </row>
    <row r="22" spans="1:4" x14ac:dyDescent="0.3">
      <c r="A22" s="26"/>
      <c r="B22" s="12"/>
      <c r="C22" s="12"/>
      <c r="D22" s="38"/>
    </row>
    <row r="23" spans="1:4" x14ac:dyDescent="0.3">
      <c r="A23" s="26"/>
      <c r="B23" s="12"/>
      <c r="C23" s="12"/>
      <c r="D23" s="38"/>
    </row>
    <row r="24" spans="1:4" x14ac:dyDescent="0.3">
      <c r="A24" s="26"/>
      <c r="B24" s="12"/>
      <c r="C24" s="12"/>
      <c r="D24" s="38"/>
    </row>
    <row r="25" spans="1:4" x14ac:dyDescent="0.3">
      <c r="A25" s="26"/>
      <c r="B25" s="12"/>
      <c r="C25" s="12"/>
      <c r="D25" s="38"/>
    </row>
    <row r="26" spans="1:4" x14ac:dyDescent="0.3">
      <c r="A26" s="26"/>
      <c r="B26" s="12"/>
      <c r="C26" s="12"/>
      <c r="D26" s="38"/>
    </row>
    <row r="27" spans="1:4" x14ac:dyDescent="0.3">
      <c r="A27" s="26"/>
      <c r="B27" s="12"/>
      <c r="C27" s="12"/>
      <c r="D27" s="38"/>
    </row>
    <row r="28" spans="1:4" x14ac:dyDescent="0.3">
      <c r="A28" s="26"/>
      <c r="B28" s="12"/>
      <c r="C28" s="12"/>
      <c r="D28" s="38"/>
    </row>
    <row r="29" spans="1:4" x14ac:dyDescent="0.3">
      <c r="A29" s="26"/>
      <c r="B29" s="12"/>
      <c r="C29" s="12"/>
      <c r="D29" s="27"/>
    </row>
    <row r="30" spans="1:4" x14ac:dyDescent="0.3">
      <c r="A30" s="26"/>
      <c r="B30" s="12"/>
      <c r="C30" s="12"/>
      <c r="D30" s="38"/>
    </row>
    <row r="31" spans="1:4" x14ac:dyDescent="0.3">
      <c r="A31" s="26"/>
      <c r="B31" s="12"/>
      <c r="C31" s="12"/>
      <c r="D31" s="38"/>
    </row>
    <row r="32" spans="1:4" x14ac:dyDescent="0.3">
      <c r="A32" s="26"/>
      <c r="B32" s="12"/>
      <c r="C32" s="12"/>
      <c r="D32" s="38"/>
    </row>
    <row r="33" spans="1:4" x14ac:dyDescent="0.3">
      <c r="A33" s="26"/>
      <c r="B33" s="12"/>
      <c r="C33" s="12"/>
      <c r="D33" s="38"/>
    </row>
    <row r="34" spans="1:4" x14ac:dyDescent="0.3">
      <c r="A34" s="26"/>
      <c r="B34" s="12"/>
      <c r="C34" s="12"/>
      <c r="D34" s="38"/>
    </row>
    <row r="35" spans="1:4" x14ac:dyDescent="0.3">
      <c r="A35" s="26"/>
      <c r="B35" s="12"/>
      <c r="C35" s="12"/>
      <c r="D35" s="38"/>
    </row>
    <row r="36" spans="1:4" x14ac:dyDescent="0.3">
      <c r="A36" s="26"/>
      <c r="B36" s="12"/>
      <c r="C36" s="12"/>
      <c r="D36" s="38"/>
    </row>
    <row r="37" spans="1:4" x14ac:dyDescent="0.3">
      <c r="A37" s="26"/>
      <c r="B37" s="12"/>
      <c r="C37" s="12"/>
      <c r="D37" s="38"/>
    </row>
    <row r="38" spans="1:4" x14ac:dyDescent="0.3">
      <c r="A38" s="26"/>
      <c r="B38" s="12"/>
      <c r="C38" s="12"/>
      <c r="D38" s="38"/>
    </row>
    <row r="39" spans="1:4" x14ac:dyDescent="0.3">
      <c r="A39" s="26"/>
      <c r="B39" s="12"/>
      <c r="C39" s="12"/>
      <c r="D39" s="38"/>
    </row>
    <row r="40" spans="1:4" x14ac:dyDescent="0.3">
      <c r="A40" s="26"/>
      <c r="B40" s="12"/>
      <c r="C40" s="12"/>
      <c r="D40" s="38"/>
    </row>
    <row r="41" spans="1:4" x14ac:dyDescent="0.3">
      <c r="A41" s="26"/>
      <c r="B41" s="12"/>
      <c r="C41" s="12"/>
      <c r="D41" s="38"/>
    </row>
    <row r="42" spans="1:4" x14ac:dyDescent="0.3">
      <c r="A42" s="26"/>
      <c r="B42" s="12"/>
      <c r="C42" s="12"/>
      <c r="D42" s="38"/>
    </row>
    <row r="43" spans="1:4" x14ac:dyDescent="0.3">
      <c r="A43" s="26"/>
      <c r="B43" s="12"/>
      <c r="C43" s="12"/>
      <c r="D43" s="38"/>
    </row>
    <row r="44" spans="1:4" x14ac:dyDescent="0.3">
      <c r="A44" s="26"/>
      <c r="B44" s="12"/>
      <c r="C44" s="12"/>
      <c r="D44" s="38"/>
    </row>
    <row r="45" spans="1:4" x14ac:dyDescent="0.3">
      <c r="A45" s="26"/>
      <c r="B45" s="12"/>
      <c r="C45" s="12"/>
      <c r="D45" s="38"/>
    </row>
    <row r="46" spans="1:4" x14ac:dyDescent="0.3">
      <c r="A46" s="26"/>
      <c r="B46" s="12"/>
      <c r="C46" s="12"/>
      <c r="D46" s="38"/>
    </row>
    <row r="47" spans="1:4" x14ac:dyDescent="0.3">
      <c r="A47" s="26"/>
      <c r="B47" s="12"/>
      <c r="C47" s="12"/>
      <c r="D47" s="38"/>
    </row>
    <row r="48" spans="1:4" x14ac:dyDescent="0.3">
      <c r="A48" s="26"/>
      <c r="B48" s="12"/>
      <c r="C48" s="12"/>
      <c r="D48" s="38"/>
    </row>
    <row r="49" spans="1:4" x14ac:dyDescent="0.3">
      <c r="A49" s="26"/>
      <c r="B49" s="12"/>
      <c r="C49" s="12"/>
      <c r="D49" s="38"/>
    </row>
    <row r="50" spans="1:4" x14ac:dyDescent="0.3">
      <c r="A50" s="26"/>
      <c r="B50" s="12"/>
      <c r="C50" s="12"/>
      <c r="D50" s="38"/>
    </row>
    <row r="51" spans="1:4" x14ac:dyDescent="0.3">
      <c r="A51" s="26"/>
      <c r="B51" s="12"/>
      <c r="C51" s="12"/>
      <c r="D51" s="38"/>
    </row>
    <row r="52" spans="1:4" x14ac:dyDescent="0.3">
      <c r="A52" s="26"/>
      <c r="B52" s="12"/>
      <c r="C52" s="12"/>
      <c r="D52" s="38"/>
    </row>
    <row r="53" spans="1:4" x14ac:dyDescent="0.3">
      <c r="A53" s="26"/>
      <c r="B53" s="12"/>
      <c r="C53" s="12"/>
      <c r="D53" s="38"/>
    </row>
    <row r="54" spans="1:4" x14ac:dyDescent="0.3">
      <c r="A54" s="26"/>
      <c r="B54" s="12"/>
      <c r="C54" s="12"/>
      <c r="D54" s="38"/>
    </row>
    <row r="55" spans="1:4" x14ac:dyDescent="0.3">
      <c r="A55" s="26"/>
      <c r="B55" s="12"/>
      <c r="C55" s="12"/>
      <c r="D55" s="38"/>
    </row>
    <row r="56" spans="1:4" x14ac:dyDescent="0.3">
      <c r="A56" s="26"/>
      <c r="B56" s="12"/>
      <c r="C56" s="12"/>
      <c r="D56" s="38"/>
    </row>
    <row r="57" spans="1:4" x14ac:dyDescent="0.3">
      <c r="A57" s="26"/>
      <c r="B57" s="12"/>
      <c r="C57" s="12"/>
      <c r="D57" s="38"/>
    </row>
    <row r="58" spans="1:4" x14ac:dyDescent="0.3">
      <c r="A58" s="26"/>
      <c r="B58" s="12"/>
      <c r="C58" s="12"/>
      <c r="D58" s="38"/>
    </row>
    <row r="59" spans="1:4" x14ac:dyDescent="0.3">
      <c r="A59" s="26"/>
      <c r="B59" s="12"/>
      <c r="C59" s="12"/>
      <c r="D59" s="38"/>
    </row>
    <row r="60" spans="1:4" x14ac:dyDescent="0.3">
      <c r="A60" s="26"/>
      <c r="B60" s="12"/>
      <c r="C60" s="12"/>
      <c r="D60" s="38"/>
    </row>
    <row r="61" spans="1:4" x14ac:dyDescent="0.3">
      <c r="A61" s="26"/>
      <c r="B61" s="12"/>
      <c r="C61" s="12"/>
      <c r="D61" s="38"/>
    </row>
    <row r="62" spans="1:4" x14ac:dyDescent="0.3">
      <c r="A62" s="26"/>
      <c r="B62" s="12"/>
      <c r="C62" s="12"/>
      <c r="D62" s="38"/>
    </row>
    <row r="63" spans="1:4" x14ac:dyDescent="0.3">
      <c r="A63" s="26"/>
      <c r="B63" s="12"/>
      <c r="C63" s="12"/>
      <c r="D63" s="38"/>
    </row>
    <row r="64" spans="1:4" x14ac:dyDescent="0.3">
      <c r="A64" s="26"/>
      <c r="B64" s="12"/>
      <c r="C64" s="12"/>
      <c r="D64" s="38"/>
    </row>
    <row r="65" spans="1:4" x14ac:dyDescent="0.3">
      <c r="A65" s="26"/>
      <c r="B65" s="12"/>
      <c r="C65" s="12"/>
      <c r="D65" s="38"/>
    </row>
    <row r="66" spans="1:4" x14ac:dyDescent="0.3">
      <c r="A66" s="26"/>
      <c r="B66" s="12"/>
      <c r="C66" s="12"/>
      <c r="D66" s="38"/>
    </row>
    <row r="67" spans="1:4" x14ac:dyDescent="0.3">
      <c r="A67" s="26"/>
      <c r="B67" s="12"/>
      <c r="C67" s="12"/>
      <c r="D67" s="38"/>
    </row>
    <row r="68" spans="1:4" x14ac:dyDescent="0.3">
      <c r="A68" s="26"/>
      <c r="B68" s="12"/>
      <c r="C68" s="12"/>
      <c r="D68" s="38"/>
    </row>
    <row r="69" spans="1:4" x14ac:dyDescent="0.3">
      <c r="A69" s="26"/>
      <c r="B69" s="12"/>
      <c r="C69" s="12"/>
      <c r="D69" s="38"/>
    </row>
    <row r="70" spans="1:4" x14ac:dyDescent="0.3">
      <c r="A70" s="26"/>
      <c r="B70" s="12"/>
      <c r="C70" s="12"/>
      <c r="D70" s="38"/>
    </row>
    <row r="71" spans="1:4" x14ac:dyDescent="0.3">
      <c r="A71" s="26"/>
      <c r="B71" s="12"/>
      <c r="C71" s="12"/>
      <c r="D71" s="38"/>
    </row>
    <row r="72" spans="1:4" x14ac:dyDescent="0.3">
      <c r="A72" s="26"/>
      <c r="B72" s="12"/>
      <c r="C72" s="12"/>
      <c r="D72" s="38"/>
    </row>
    <row r="73" spans="1:4" x14ac:dyDescent="0.3">
      <c r="A73" s="26"/>
      <c r="B73" s="12"/>
      <c r="C73" s="12"/>
      <c r="D73" s="38"/>
    </row>
    <row r="74" spans="1:4" x14ac:dyDescent="0.3">
      <c r="A74" s="26"/>
      <c r="B74" s="12"/>
      <c r="C74" s="12"/>
      <c r="D74" s="38"/>
    </row>
    <row r="75" spans="1:4" x14ac:dyDescent="0.3">
      <c r="A75" s="26"/>
      <c r="B75" s="12"/>
      <c r="C75" s="12"/>
      <c r="D75" s="38"/>
    </row>
    <row r="76" spans="1:4" x14ac:dyDescent="0.3">
      <c r="A76" s="26"/>
      <c r="B76" s="12"/>
      <c r="C76" s="12"/>
      <c r="D76" s="38"/>
    </row>
    <row r="77" spans="1:4" x14ac:dyDescent="0.3">
      <c r="A77" s="26"/>
      <c r="B77" s="12"/>
      <c r="C77" s="12"/>
      <c r="D77" s="38"/>
    </row>
    <row r="78" spans="1:4" x14ac:dyDescent="0.3">
      <c r="A78" s="26"/>
      <c r="B78" s="12"/>
      <c r="C78" s="12"/>
      <c r="D78" s="38"/>
    </row>
    <row r="79" spans="1:4" x14ac:dyDescent="0.3">
      <c r="A79" s="26"/>
      <c r="B79" s="12"/>
      <c r="C79" s="12"/>
      <c r="D79" s="38"/>
    </row>
    <row r="80" spans="1:4" x14ac:dyDescent="0.3">
      <c r="A80" s="26"/>
      <c r="B80" s="12"/>
      <c r="C80" s="12"/>
      <c r="D80" s="38"/>
    </row>
    <row r="81" spans="1:4" x14ac:dyDescent="0.3">
      <c r="A81" s="26"/>
      <c r="B81" s="12"/>
      <c r="C81" s="12"/>
      <c r="D81" s="38"/>
    </row>
    <row r="82" spans="1:4" x14ac:dyDescent="0.3">
      <c r="A82" s="26"/>
      <c r="B82" s="12"/>
      <c r="C82" s="12"/>
      <c r="D82" s="38"/>
    </row>
    <row r="83" spans="1:4" x14ac:dyDescent="0.3">
      <c r="A83" s="26"/>
      <c r="B83" s="12"/>
      <c r="C83" s="12"/>
      <c r="D83" s="38"/>
    </row>
    <row r="84" spans="1:4" x14ac:dyDescent="0.3">
      <c r="A84" s="26"/>
      <c r="B84" s="12"/>
      <c r="C84" s="12"/>
      <c r="D84" s="38"/>
    </row>
    <row r="85" spans="1:4" x14ac:dyDescent="0.3">
      <c r="A85" s="26"/>
      <c r="B85" s="12"/>
      <c r="C85" s="12"/>
      <c r="D85" s="38"/>
    </row>
    <row r="86" spans="1:4" x14ac:dyDescent="0.3">
      <c r="A86" s="26"/>
      <c r="B86" s="12"/>
      <c r="C86" s="12"/>
      <c r="D86" s="38"/>
    </row>
    <row r="87" spans="1:4" x14ac:dyDescent="0.3">
      <c r="A87" s="26"/>
      <c r="B87" s="12"/>
      <c r="C87" s="12"/>
      <c r="D87" s="38"/>
    </row>
    <row r="88" spans="1:4" x14ac:dyDescent="0.3">
      <c r="A88" s="26"/>
      <c r="B88" s="12"/>
      <c r="C88" s="12"/>
      <c r="D88" s="38"/>
    </row>
    <row r="89" spans="1:4" x14ac:dyDescent="0.3">
      <c r="A89" s="26"/>
      <c r="B89" s="12"/>
      <c r="C89" s="12"/>
      <c r="D89" s="38"/>
    </row>
    <row r="90" spans="1:4" x14ac:dyDescent="0.3">
      <c r="A90" s="26"/>
      <c r="B90" s="12"/>
      <c r="C90" s="12"/>
      <c r="D90" s="38"/>
    </row>
    <row r="91" spans="1:4" x14ac:dyDescent="0.3">
      <c r="A91" s="26"/>
      <c r="B91" s="12"/>
      <c r="C91" s="12"/>
      <c r="D91" s="38"/>
    </row>
    <row r="92" spans="1:4" x14ac:dyDescent="0.3">
      <c r="A92" s="26"/>
      <c r="B92" s="12"/>
      <c r="C92" s="12"/>
      <c r="D92" s="38"/>
    </row>
    <row r="93" spans="1:4" x14ac:dyDescent="0.3">
      <c r="A93" s="26"/>
      <c r="B93" s="12"/>
      <c r="C93" s="12"/>
      <c r="D93" s="38"/>
    </row>
    <row r="94" spans="1:4" x14ac:dyDescent="0.3">
      <c r="A94" s="26"/>
      <c r="B94" s="12"/>
      <c r="C94" s="12"/>
      <c r="D94" s="38"/>
    </row>
    <row r="95" spans="1:4" x14ac:dyDescent="0.3">
      <c r="A95" s="26"/>
      <c r="B95" s="12"/>
      <c r="C95" s="12"/>
      <c r="D95" s="38"/>
    </row>
    <row r="96" spans="1:4" x14ac:dyDescent="0.3">
      <c r="A96" s="26"/>
      <c r="B96" s="12"/>
      <c r="C96" s="12"/>
      <c r="D96" s="38"/>
    </row>
    <row r="97" spans="1:4" x14ac:dyDescent="0.3">
      <c r="A97" s="26"/>
      <c r="B97" s="12"/>
      <c r="C97" s="12"/>
      <c r="D97" s="38"/>
    </row>
    <row r="98" spans="1:4" x14ac:dyDescent="0.3">
      <c r="A98" s="26"/>
      <c r="B98" s="12"/>
      <c r="C98" s="12"/>
      <c r="D98" s="38"/>
    </row>
    <row r="99" spans="1:4" x14ac:dyDescent="0.3">
      <c r="A99" s="26"/>
      <c r="B99" s="12"/>
      <c r="C99" s="12"/>
      <c r="D99" s="38"/>
    </row>
    <row r="100" spans="1:4" x14ac:dyDescent="0.3">
      <c r="A100" s="26"/>
      <c r="B100" s="12"/>
      <c r="C100" s="12"/>
      <c r="D100" s="38"/>
    </row>
    <row r="101" spans="1:4" x14ac:dyDescent="0.3">
      <c r="A101" s="26"/>
      <c r="B101" s="12"/>
      <c r="C101" s="12"/>
      <c r="D101" s="38"/>
    </row>
    <row r="102" spans="1:4" x14ac:dyDescent="0.3">
      <c r="A102" s="26"/>
      <c r="B102" s="12"/>
      <c r="C102" s="12"/>
      <c r="D102" s="38"/>
    </row>
    <row r="103" spans="1:4" x14ac:dyDescent="0.3">
      <c r="A103" s="26"/>
      <c r="B103" s="12"/>
      <c r="C103" s="12"/>
      <c r="D103" s="38"/>
    </row>
    <row r="104" spans="1:4" x14ac:dyDescent="0.3">
      <c r="A104" s="26"/>
      <c r="B104" s="12"/>
      <c r="C104" s="12"/>
      <c r="D104" s="38"/>
    </row>
    <row r="105" spans="1:4" x14ac:dyDescent="0.3">
      <c r="A105" s="26"/>
      <c r="B105" s="12"/>
      <c r="C105" s="12"/>
      <c r="D105" s="38"/>
    </row>
    <row r="106" spans="1:4" x14ac:dyDescent="0.3">
      <c r="A106" s="26"/>
      <c r="B106" s="12"/>
      <c r="C106" s="12"/>
      <c r="D106" s="38"/>
    </row>
    <row r="107" spans="1:4" x14ac:dyDescent="0.3">
      <c r="A107" s="26"/>
      <c r="B107" s="12"/>
      <c r="C107" s="12"/>
      <c r="D107" s="38"/>
    </row>
    <row r="108" spans="1:4" x14ac:dyDescent="0.3">
      <c r="A108" s="26"/>
      <c r="B108" s="12"/>
      <c r="C108" s="12"/>
      <c r="D108" s="38"/>
    </row>
    <row r="109" spans="1:4" x14ac:dyDescent="0.3">
      <c r="A109" s="26"/>
      <c r="B109" s="12"/>
      <c r="C109" s="12"/>
      <c r="D109" s="38"/>
    </row>
    <row r="110" spans="1:4" x14ac:dyDescent="0.3">
      <c r="A110" s="26"/>
      <c r="B110" s="12"/>
      <c r="C110" s="12"/>
      <c r="D110" s="38"/>
    </row>
    <row r="111" spans="1:4" x14ac:dyDescent="0.3">
      <c r="A111" s="26"/>
      <c r="B111" s="12"/>
      <c r="C111" s="12"/>
      <c r="D111" s="38"/>
    </row>
    <row r="112" spans="1:4" x14ac:dyDescent="0.3">
      <c r="A112" s="26"/>
      <c r="B112" s="12"/>
      <c r="C112" s="12"/>
      <c r="D112" s="38"/>
    </row>
    <row r="113" spans="1:4" x14ac:dyDescent="0.3">
      <c r="A113" s="26"/>
      <c r="B113" s="12"/>
      <c r="C113" s="12"/>
      <c r="D113" s="38"/>
    </row>
    <row r="114" spans="1:4" x14ac:dyDescent="0.3">
      <c r="A114" s="26"/>
      <c r="B114" s="12"/>
      <c r="C114" s="12"/>
      <c r="D114" s="38"/>
    </row>
    <row r="115" spans="1:4" x14ac:dyDescent="0.3">
      <c r="A115" s="26"/>
      <c r="B115" s="12"/>
      <c r="C115" s="12"/>
      <c r="D115" s="38"/>
    </row>
    <row r="116" spans="1:4" x14ac:dyDescent="0.3">
      <c r="A116" s="26"/>
      <c r="B116" s="12"/>
      <c r="C116" s="12"/>
      <c r="D116" s="38"/>
    </row>
    <row r="117" spans="1:4" x14ac:dyDescent="0.3">
      <c r="A117" s="26"/>
      <c r="B117" s="12"/>
      <c r="C117" s="12"/>
      <c r="D117" s="38"/>
    </row>
    <row r="118" spans="1:4" x14ac:dyDescent="0.3">
      <c r="A118" s="26"/>
      <c r="B118" s="12"/>
      <c r="C118" s="12"/>
      <c r="D118" s="38"/>
    </row>
    <row r="119" spans="1:4" x14ac:dyDescent="0.3">
      <c r="A119" s="26"/>
      <c r="B119" s="12"/>
      <c r="C119" s="12"/>
      <c r="D119" s="38"/>
    </row>
    <row r="120" spans="1:4" x14ac:dyDescent="0.3">
      <c r="A120" s="26"/>
      <c r="B120" s="12"/>
      <c r="C120" s="12"/>
      <c r="D120" s="38"/>
    </row>
    <row r="121" spans="1:4" x14ac:dyDescent="0.3">
      <c r="A121" s="26"/>
      <c r="B121" s="12"/>
      <c r="C121" s="12"/>
      <c r="D121" s="38"/>
    </row>
    <row r="122" spans="1:4" x14ac:dyDescent="0.3">
      <c r="A122" s="26"/>
      <c r="B122" s="12"/>
      <c r="C122" s="12"/>
      <c r="D122" s="38"/>
    </row>
    <row r="123" spans="1:4" x14ac:dyDescent="0.3">
      <c r="A123" s="26"/>
      <c r="B123" s="12"/>
      <c r="C123" s="12"/>
      <c r="D123" s="38"/>
    </row>
    <row r="124" spans="1:4" x14ac:dyDescent="0.3">
      <c r="A124" s="26"/>
      <c r="B124" s="12"/>
      <c r="C124" s="12"/>
      <c r="D124" s="38"/>
    </row>
    <row r="125" spans="1:4" x14ac:dyDescent="0.3">
      <c r="A125" s="26"/>
      <c r="B125" s="12"/>
      <c r="C125" s="12"/>
      <c r="D125" s="38"/>
    </row>
    <row r="126" spans="1:4" x14ac:dyDescent="0.3">
      <c r="A126" s="26"/>
      <c r="B126" s="12"/>
      <c r="C126" s="12"/>
      <c r="D126" s="38"/>
    </row>
    <row r="127" spans="1:4" x14ac:dyDescent="0.3">
      <c r="A127" s="26"/>
      <c r="B127" s="12"/>
      <c r="C127" s="12"/>
      <c r="D127" s="38"/>
    </row>
    <row r="128" spans="1:4" x14ac:dyDescent="0.3">
      <c r="A128" s="26"/>
      <c r="B128" s="12"/>
      <c r="C128" s="12"/>
      <c r="D128" s="38"/>
    </row>
    <row r="129" spans="1:4" x14ac:dyDescent="0.3">
      <c r="A129" s="26"/>
      <c r="B129" s="12"/>
      <c r="C129" s="12"/>
      <c r="D129" s="38"/>
    </row>
    <row r="130" spans="1:4" x14ac:dyDescent="0.3">
      <c r="A130" s="26"/>
      <c r="B130" s="12"/>
      <c r="C130" s="12"/>
      <c r="D130" s="38"/>
    </row>
    <row r="131" spans="1:4" x14ac:dyDescent="0.3">
      <c r="A131" s="26"/>
      <c r="B131" s="12"/>
      <c r="C131" s="12"/>
      <c r="D131" s="38"/>
    </row>
    <row r="132" spans="1:4" x14ac:dyDescent="0.3">
      <c r="A132" s="26"/>
      <c r="B132" s="12"/>
      <c r="C132" s="12"/>
      <c r="D132" s="38"/>
    </row>
    <row r="133" spans="1:4" x14ac:dyDescent="0.3">
      <c r="A133" s="26"/>
      <c r="B133" s="12"/>
      <c r="C133" s="12"/>
      <c r="D133" s="38"/>
    </row>
    <row r="134" spans="1:4" x14ac:dyDescent="0.3">
      <c r="A134" s="26"/>
      <c r="B134" s="12"/>
      <c r="C134" s="12"/>
      <c r="D134" s="38"/>
    </row>
    <row r="135" spans="1:4" x14ac:dyDescent="0.3">
      <c r="A135" s="26"/>
      <c r="B135" s="12"/>
      <c r="C135" s="12"/>
      <c r="D135" s="38"/>
    </row>
    <row r="136" spans="1:4" x14ac:dyDescent="0.3">
      <c r="A136" s="26"/>
      <c r="B136" s="12"/>
      <c r="C136" s="12"/>
      <c r="D136" s="38"/>
    </row>
    <row r="137" spans="1:4" x14ac:dyDescent="0.3">
      <c r="A137" s="26"/>
      <c r="B137" s="12"/>
      <c r="C137" s="12"/>
      <c r="D137" s="38"/>
    </row>
    <row r="138" spans="1:4" x14ac:dyDescent="0.3">
      <c r="A138" s="26"/>
      <c r="B138" s="12"/>
      <c r="C138" s="12"/>
      <c r="D138" s="38"/>
    </row>
  </sheetData>
  <phoneticPr fontId="7" type="noConversion"/>
  <printOptions horizontalCentered="1"/>
  <pageMargins left="0.25" right="0.25" top="0.75" bottom="0.75" header="0.3" footer="0.3"/>
  <pageSetup paperSize="9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9FF7F50-EF5F-47A2-B11F-1942047C6F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REPORTE</vt:lpstr>
      <vt:lpstr>NIVEL 1</vt:lpstr>
      <vt:lpstr>NIVEL 2</vt:lpstr>
      <vt:lpstr>NIVEL 3</vt:lpstr>
      <vt:lpstr>EQUIPO</vt:lpstr>
      <vt:lpstr>'NIVEL 1'!Títulos_a_imprimir</vt:lpstr>
      <vt:lpstr>'NIVEL 2'!Títulos_a_imprimir</vt:lpstr>
      <vt:lpstr>'NIVEL 3'!Títulos_a_imprimir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Raúl</dc:creator>
  <cp:lastModifiedBy>Raul Vicuña</cp:lastModifiedBy>
  <cp:lastPrinted>2025-09-01T12:55:18Z</cp:lastPrinted>
  <dcterms:created xsi:type="dcterms:W3CDTF">2015-06-05T18:19:34Z</dcterms:created>
  <dcterms:modified xsi:type="dcterms:W3CDTF">2026-04-02T16:17:08Z</dcterms:modified>
</cp:coreProperties>
</file>