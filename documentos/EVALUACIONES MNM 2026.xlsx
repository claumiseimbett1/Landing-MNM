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21A388C0-D85C-48C1-B50D-DA8189529E0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9" i="2" l="1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O66" i="2" s="1" a="1"/>
  <c r="N65" i="2"/>
  <c r="O65" i="2" s="1" a="1"/>
  <c r="N64" i="2"/>
  <c r="O64" i="2" s="1" a="1"/>
  <c r="N63" i="2"/>
  <c r="O63" i="2" s="1" a="1"/>
  <c r="N62" i="2"/>
  <c r="O62" i="2" s="1" a="1"/>
  <c r="N61" i="2"/>
  <c r="O61" i="2" s="1" a="1"/>
  <c r="N60" i="2"/>
  <c r="O60" i="2" s="1" a="1"/>
  <c r="N59" i="2"/>
  <c r="O59" i="2" s="1" a="1"/>
  <c r="N58" i="2"/>
  <c r="O58" i="2" s="1" a="1"/>
  <c r="N57" i="2"/>
  <c r="O57" i="2" s="1" a="1"/>
  <c r="N56" i="2"/>
  <c r="O56" i="2" s="1" a="1"/>
  <c r="N55" i="2"/>
  <c r="O55" i="2" s="1" a="1"/>
  <c r="N54" i="2"/>
  <c r="O54" i="2" s="1" a="1"/>
  <c r="N53" i="2"/>
  <c r="O53" i="2" s="1" a="1"/>
  <c r="N52" i="2"/>
  <c r="O52" i="2" s="1" a="1"/>
  <c r="N51" i="2"/>
  <c r="O51" i="2" s="1" a="1"/>
  <c r="N50" i="2"/>
  <c r="O50" i="2" s="1" a="1"/>
  <c r="N49" i="2"/>
  <c r="O49" i="2" s="1" a="1"/>
  <c r="N48" i="2"/>
  <c r="O48" i="2" s="1" a="1"/>
  <c r="N47" i="2"/>
  <c r="O47" i="2" s="1" a="1"/>
  <c r="N46" i="2"/>
  <c r="O46" i="2" s="1" a="1"/>
  <c r="N45" i="2"/>
  <c r="O45" i="2" s="1" a="1"/>
  <c r="N44" i="2"/>
  <c r="O44" i="2" s="1" a="1"/>
  <c r="N43" i="2"/>
  <c r="O43" i="2" s="1" a="1"/>
  <c r="N42" i="2"/>
  <c r="O42" i="2" s="1" a="1"/>
  <c r="N41" i="2"/>
  <c r="O41" i="2" s="1" a="1"/>
  <c r="N40" i="2"/>
  <c r="O40" i="2" s="1" a="1"/>
  <c r="N39" i="2"/>
  <c r="O39" i="2" s="1" a="1"/>
  <c r="N38" i="2"/>
  <c r="O38" i="2" s="1" a="1"/>
  <c r="N37" i="2"/>
  <c r="O37" i="2" s="1" a="1"/>
  <c r="N36" i="2"/>
  <c r="O36" i="2" s="1" a="1"/>
  <c r="N35" i="2"/>
  <c r="N34" i="2"/>
  <c r="N33" i="2"/>
  <c r="N32" i="2"/>
  <c r="N31" i="2"/>
  <c r="N30" i="2"/>
  <c r="N29" i="2"/>
  <c r="N28" i="2"/>
  <c r="N27" i="2"/>
  <c r="O27" i="2" s="1" a="1"/>
  <c r="N26" i="2"/>
  <c r="N25" i="2"/>
  <c r="N24" i="2"/>
  <c r="A71" i="2"/>
  <c r="A70" i="2"/>
  <c r="A69" i="2"/>
  <c r="A79" i="2"/>
  <c r="A73" i="2"/>
  <c r="A75" i="2"/>
  <c r="A78" i="2"/>
  <c r="A74" i="2"/>
  <c r="A77" i="2"/>
  <c r="A67" i="2"/>
  <c r="A72" i="2"/>
  <c r="A68" i="2"/>
  <c r="A76" i="2"/>
  <c r="B71" i="2"/>
  <c r="B70" i="2"/>
  <c r="B69" i="2"/>
  <c r="B79" i="2"/>
  <c r="B73" i="2"/>
  <c r="B75" i="2"/>
  <c r="B78" i="2"/>
  <c r="B74" i="2"/>
  <c r="B77" i="2"/>
  <c r="B67" i="2"/>
  <c r="B72" i="2"/>
  <c r="B68" i="2"/>
  <c r="B76" i="2"/>
  <c r="C71" i="2"/>
  <c r="C70" i="2"/>
  <c r="C69" i="2"/>
  <c r="C79" i="2"/>
  <c r="C73" i="2"/>
  <c r="C75" i="2"/>
  <c r="C78" i="2"/>
  <c r="C74" i="2"/>
  <c r="C77" i="2"/>
  <c r="C67" i="2"/>
  <c r="C72" i="2"/>
  <c r="C68" i="2"/>
  <c r="C76" i="2"/>
  <c r="O71" i="2" a="1"/>
  <c r="O70" i="2" a="1"/>
  <c r="O69" i="2" a="1"/>
  <c r="O79" i="2" a="1"/>
  <c r="O73" i="2" a="1"/>
  <c r="O75" i="2" a="1"/>
  <c r="O78" i="2" a="1"/>
  <c r="O74" i="2" a="1"/>
  <c r="O77" i="2" a="1"/>
  <c r="O67" i="2" a="1"/>
  <c r="O72" i="2" a="1"/>
  <c r="O68" i="2" a="1"/>
  <c r="O76" i="2" a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O116" i="1" s="1" a="1"/>
  <c r="N115" i="1"/>
  <c r="O115" i="1" s="1" a="1"/>
  <c r="N114" i="1"/>
  <c r="O114" i="1" s="1" a="1"/>
  <c r="N113" i="1"/>
  <c r="O113" i="1" s="1" a="1"/>
  <c r="N112" i="1"/>
  <c r="O112" i="1" s="1" a="1"/>
  <c r="N111" i="1"/>
  <c r="O111" i="1" s="1" a="1"/>
  <c r="N110" i="1"/>
  <c r="O110" i="1" s="1" a="1"/>
  <c r="N109" i="1"/>
  <c r="O109" i="1" s="1" a="1"/>
  <c r="N108" i="1"/>
  <c r="O108" i="1" s="1" a="1"/>
  <c r="N107" i="1"/>
  <c r="O107" i="1" s="1" a="1"/>
  <c r="N106" i="1"/>
  <c r="O106" i="1" s="1" a="1"/>
  <c r="N105" i="1"/>
  <c r="O105" i="1" s="1" a="1"/>
  <c r="N104" i="1"/>
  <c r="O104" i="1" s="1" a="1"/>
  <c r="N103" i="1"/>
  <c r="O103" i="1" s="1" a="1"/>
  <c r="N102" i="1"/>
  <c r="O102" i="1" s="1" a="1"/>
  <c r="A125" i="1"/>
  <c r="A122" i="1"/>
  <c r="A124" i="1"/>
  <c r="A120" i="1"/>
  <c r="A128" i="1"/>
  <c r="A132" i="1"/>
  <c r="A130" i="1"/>
  <c r="A118" i="1"/>
  <c r="A131" i="1"/>
  <c r="A129" i="1"/>
  <c r="A134" i="1"/>
  <c r="A133" i="1"/>
  <c r="A117" i="1"/>
  <c r="A123" i="1"/>
  <c r="A127" i="1"/>
  <c r="A126" i="1"/>
  <c r="A119" i="1"/>
  <c r="A121" i="1"/>
  <c r="A135" i="1"/>
  <c r="B125" i="1"/>
  <c r="B122" i="1"/>
  <c r="B124" i="1"/>
  <c r="B120" i="1"/>
  <c r="B128" i="1"/>
  <c r="B132" i="1"/>
  <c r="B130" i="1"/>
  <c r="B118" i="1"/>
  <c r="B131" i="1"/>
  <c r="B129" i="1"/>
  <c r="B134" i="1"/>
  <c r="B133" i="1"/>
  <c r="B117" i="1"/>
  <c r="B123" i="1"/>
  <c r="B127" i="1"/>
  <c r="B126" i="1"/>
  <c r="B119" i="1"/>
  <c r="B121" i="1"/>
  <c r="B135" i="1"/>
  <c r="C125" i="1"/>
  <c r="C122" i="1"/>
  <c r="C124" i="1"/>
  <c r="C120" i="1"/>
  <c r="C128" i="1"/>
  <c r="C132" i="1"/>
  <c r="C130" i="1"/>
  <c r="C118" i="1"/>
  <c r="C131" i="1"/>
  <c r="C129" i="1"/>
  <c r="C134" i="1"/>
  <c r="C133" i="1"/>
  <c r="C117" i="1"/>
  <c r="C123" i="1"/>
  <c r="C127" i="1"/>
  <c r="C126" i="1"/>
  <c r="C119" i="1"/>
  <c r="C121" i="1"/>
  <c r="C135" i="1"/>
  <c r="O125" i="1" a="1"/>
  <c r="O122" i="1" a="1"/>
  <c r="O124" i="1" a="1"/>
  <c r="O120" i="1" a="1"/>
  <c r="O128" i="1" a="1"/>
  <c r="O132" i="1" a="1"/>
  <c r="O130" i="1" a="1"/>
  <c r="O118" i="1" a="1"/>
  <c r="O131" i="1" a="1"/>
  <c r="O129" i="1" a="1"/>
  <c r="O134" i="1" a="1"/>
  <c r="O133" i="1" a="1"/>
  <c r="O117" i="1" a="1"/>
  <c r="O123" i="1" a="1"/>
  <c r="O127" i="1" a="1"/>
  <c r="O126" i="1" a="1"/>
  <c r="O119" i="1" a="1"/>
  <c r="O121" i="1" a="1"/>
  <c r="O135" i="1" a="1"/>
  <c r="T8" i="3"/>
  <c r="U8" i="3" s="1" a="1"/>
  <c r="T9" i="3"/>
  <c r="U9" i="3" s="1" a="1"/>
  <c r="T10" i="3"/>
  <c r="U10" i="3" s="1" a="1"/>
  <c r="T11" i="3"/>
  <c r="T12" i="3"/>
  <c r="T13" i="3"/>
  <c r="T14" i="3"/>
  <c r="T15" i="3"/>
  <c r="T16" i="3"/>
  <c r="T17" i="3"/>
  <c r="T18" i="3"/>
  <c r="T19" i="3"/>
  <c r="A14" i="3"/>
  <c r="A16" i="3"/>
  <c r="A15" i="3"/>
  <c r="A18" i="3"/>
  <c r="A17" i="3"/>
  <c r="A19" i="3"/>
  <c r="B14" i="3"/>
  <c r="B16" i="3"/>
  <c r="B15" i="3"/>
  <c r="B18" i="3"/>
  <c r="B17" i="3"/>
  <c r="B19" i="3"/>
  <c r="C14" i="3"/>
  <c r="C16" i="3"/>
  <c r="C15" i="3"/>
  <c r="C18" i="3"/>
  <c r="C17" i="3"/>
  <c r="C19" i="3"/>
  <c r="U14" i="3" a="1"/>
  <c r="U16" i="3" a="1"/>
  <c r="U15" i="3" a="1"/>
  <c r="U18" i="3" a="1"/>
  <c r="U17" i="3" a="1"/>
  <c r="U19" i="3" a="1"/>
  <c r="A12" i="3"/>
  <c r="B12" i="3" s="1"/>
  <c r="A11" i="3"/>
  <c r="B11" i="3" s="1"/>
  <c r="A13" i="3"/>
  <c r="B13" i="3" s="1"/>
  <c r="C12" i="3"/>
  <c r="C11" i="3"/>
  <c r="C13" i="3"/>
  <c r="U12" i="3" a="1"/>
  <c r="U11" i="3" a="1"/>
  <c r="U13" i="3" a="1"/>
  <c r="A60" i="2"/>
  <c r="A58" i="2"/>
  <c r="A65" i="2"/>
  <c r="A61" i="2"/>
  <c r="A63" i="2"/>
  <c r="A66" i="2"/>
  <c r="A62" i="2"/>
  <c r="A64" i="2"/>
  <c r="A57" i="2"/>
  <c r="A59" i="2"/>
  <c r="B60" i="2"/>
  <c r="B58" i="2"/>
  <c r="B65" i="2"/>
  <c r="B61" i="2"/>
  <c r="B63" i="2"/>
  <c r="B66" i="2"/>
  <c r="B62" i="2"/>
  <c r="B64" i="2"/>
  <c r="B57" i="2"/>
  <c r="B59" i="2"/>
  <c r="C60" i="2"/>
  <c r="C58" i="2"/>
  <c r="C65" i="2"/>
  <c r="C61" i="2"/>
  <c r="C63" i="2"/>
  <c r="C66" i="2"/>
  <c r="C62" i="2"/>
  <c r="C64" i="2"/>
  <c r="C57" i="2"/>
  <c r="C59" i="2"/>
  <c r="A112" i="1"/>
  <c r="A108" i="1"/>
  <c r="A111" i="1"/>
  <c r="A116" i="1"/>
  <c r="A107" i="1"/>
  <c r="A106" i="1"/>
  <c r="A114" i="1"/>
  <c r="A103" i="1"/>
  <c r="A105" i="1"/>
  <c r="A115" i="1"/>
  <c r="A110" i="1"/>
  <c r="A109" i="1"/>
  <c r="A104" i="1"/>
  <c r="A113" i="1"/>
  <c r="B112" i="1"/>
  <c r="B108" i="1"/>
  <c r="B111" i="1"/>
  <c r="B116" i="1"/>
  <c r="B107" i="1"/>
  <c r="B106" i="1"/>
  <c r="B114" i="1"/>
  <c r="B103" i="1"/>
  <c r="B105" i="1"/>
  <c r="B115" i="1"/>
  <c r="B110" i="1"/>
  <c r="B109" i="1"/>
  <c r="B104" i="1"/>
  <c r="B113" i="1"/>
  <c r="C112" i="1"/>
  <c r="C108" i="1"/>
  <c r="C111" i="1"/>
  <c r="C116" i="1"/>
  <c r="C107" i="1"/>
  <c r="C106" i="1"/>
  <c r="C114" i="1"/>
  <c r="C103" i="1"/>
  <c r="C105" i="1"/>
  <c r="C115" i="1"/>
  <c r="C110" i="1"/>
  <c r="C109" i="1"/>
  <c r="C104" i="1"/>
  <c r="C113" i="1"/>
  <c r="A9" i="3"/>
  <c r="A10" i="3"/>
  <c r="B9" i="3"/>
  <c r="B10" i="3"/>
  <c r="C9" i="3"/>
  <c r="C10" i="3"/>
  <c r="A45" i="2"/>
  <c r="B45" i="2" s="1"/>
  <c r="A40" i="2"/>
  <c r="B40" i="2" s="1"/>
  <c r="A43" i="2"/>
  <c r="B43" i="2" s="1"/>
  <c r="A44" i="2"/>
  <c r="B44" i="2" s="1"/>
  <c r="A37" i="2"/>
  <c r="B37" i="2" s="1"/>
  <c r="A41" i="2"/>
  <c r="B41" i="2" s="1"/>
  <c r="A48" i="2"/>
  <c r="B48" i="2" s="1"/>
  <c r="A55" i="2"/>
  <c r="B55" i="2" s="1"/>
  <c r="A42" i="2"/>
  <c r="B42" i="2" s="1"/>
  <c r="A54" i="2"/>
  <c r="B54" i="2" s="1"/>
  <c r="A46" i="2"/>
  <c r="B46" i="2" s="1"/>
  <c r="A51" i="2"/>
  <c r="B51" i="2" s="1"/>
  <c r="A50" i="2"/>
  <c r="B50" i="2" s="1"/>
  <c r="A53" i="2"/>
  <c r="B53" i="2" s="1"/>
  <c r="A56" i="2"/>
  <c r="B56" i="2" s="1"/>
  <c r="A47" i="2"/>
  <c r="B47" i="2" s="1"/>
  <c r="A49" i="2"/>
  <c r="B49" i="2" s="1"/>
  <c r="A52" i="2"/>
  <c r="B52" i="2" s="1"/>
  <c r="A38" i="2"/>
  <c r="B38" i="2" s="1"/>
  <c r="A39" i="2"/>
  <c r="A36" i="2"/>
  <c r="B39" i="2"/>
  <c r="B36" i="2"/>
  <c r="C45" i="2"/>
  <c r="C40" i="2"/>
  <c r="C43" i="2"/>
  <c r="C44" i="2"/>
  <c r="C37" i="2"/>
  <c r="C41" i="2"/>
  <c r="C48" i="2"/>
  <c r="C55" i="2"/>
  <c r="C42" i="2"/>
  <c r="C54" i="2"/>
  <c r="C46" i="2"/>
  <c r="C51" i="2"/>
  <c r="C50" i="2"/>
  <c r="C53" i="2"/>
  <c r="C56" i="2"/>
  <c r="C47" i="2"/>
  <c r="C49" i="2"/>
  <c r="C52" i="2"/>
  <c r="C38" i="2"/>
  <c r="C39" i="2"/>
  <c r="C36" i="2"/>
  <c r="N101" i="1"/>
  <c r="O101" i="1" s="1" a="1"/>
  <c r="N100" i="1"/>
  <c r="O100" i="1" s="1" a="1"/>
  <c r="N99" i="1"/>
  <c r="O99" i="1" s="1" a="1"/>
  <c r="N98" i="1"/>
  <c r="O98" i="1" s="1" a="1"/>
  <c r="N97" i="1"/>
  <c r="O97" i="1" s="1" a="1"/>
  <c r="N96" i="1"/>
  <c r="O96" i="1" s="1" a="1"/>
  <c r="N95" i="1"/>
  <c r="O95" i="1" s="1" a="1"/>
  <c r="N94" i="1"/>
  <c r="O94" i="1" s="1" a="1"/>
  <c r="N93" i="1"/>
  <c r="O93" i="1" s="1" a="1"/>
  <c r="N92" i="1"/>
  <c r="O92" i="1" s="1" a="1"/>
  <c r="N91" i="1"/>
  <c r="O91" i="1" s="1" a="1"/>
  <c r="N90" i="1"/>
  <c r="O90" i="1" s="1" a="1"/>
  <c r="N89" i="1"/>
  <c r="O89" i="1" s="1" a="1"/>
  <c r="N88" i="1"/>
  <c r="O88" i="1" s="1" a="1"/>
  <c r="N87" i="1"/>
  <c r="O87" i="1" s="1" a="1"/>
  <c r="N86" i="1"/>
  <c r="O86" i="1" s="1" a="1"/>
  <c r="N85" i="1"/>
  <c r="O85" i="1" s="1" a="1"/>
  <c r="N84" i="1"/>
  <c r="O84" i="1" s="1" a="1"/>
  <c r="N83" i="1"/>
  <c r="O83" i="1" s="1" a="1"/>
  <c r="N82" i="1"/>
  <c r="O82" i="1" s="1" a="1"/>
  <c r="N81" i="1"/>
  <c r="O81" i="1" s="1" a="1"/>
  <c r="N80" i="1"/>
  <c r="O80" i="1" s="1" a="1"/>
  <c r="N79" i="1"/>
  <c r="O79" i="1" s="1" a="1"/>
  <c r="N78" i="1"/>
  <c r="O78" i="1" s="1" a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A92" i="1"/>
  <c r="B92" i="1" s="1"/>
  <c r="A90" i="1"/>
  <c r="A93" i="1"/>
  <c r="A87" i="1"/>
  <c r="A98" i="1"/>
  <c r="A89" i="1"/>
  <c r="A94" i="1"/>
  <c r="A86" i="1"/>
  <c r="A83" i="1"/>
  <c r="A78" i="1"/>
  <c r="A95" i="1"/>
  <c r="A88" i="1"/>
  <c r="A84" i="1"/>
  <c r="A85" i="1"/>
  <c r="A79" i="1"/>
  <c r="A81" i="1"/>
  <c r="A80" i="1"/>
  <c r="A82" i="1"/>
  <c r="A97" i="1"/>
  <c r="A102" i="1"/>
  <c r="A96" i="1"/>
  <c r="A100" i="1"/>
  <c r="A101" i="1"/>
  <c r="A99" i="1"/>
  <c r="A91" i="1"/>
  <c r="B90" i="1"/>
  <c r="B93" i="1"/>
  <c r="B87" i="1"/>
  <c r="B98" i="1"/>
  <c r="B89" i="1"/>
  <c r="B94" i="1"/>
  <c r="B86" i="1"/>
  <c r="B83" i="1"/>
  <c r="B78" i="1"/>
  <c r="B95" i="1"/>
  <c r="B88" i="1"/>
  <c r="B84" i="1"/>
  <c r="B85" i="1"/>
  <c r="B79" i="1"/>
  <c r="B81" i="1"/>
  <c r="B80" i="1"/>
  <c r="B82" i="1"/>
  <c r="B97" i="1"/>
  <c r="B102" i="1"/>
  <c r="B96" i="1"/>
  <c r="B100" i="1"/>
  <c r="B101" i="1"/>
  <c r="B99" i="1"/>
  <c r="B91" i="1"/>
  <c r="C92" i="1"/>
  <c r="C90" i="1"/>
  <c r="C93" i="1"/>
  <c r="C87" i="1"/>
  <c r="C98" i="1"/>
  <c r="C89" i="1"/>
  <c r="C94" i="1"/>
  <c r="C86" i="1"/>
  <c r="C83" i="1"/>
  <c r="C78" i="1"/>
  <c r="C95" i="1"/>
  <c r="C88" i="1"/>
  <c r="C84" i="1"/>
  <c r="C85" i="1"/>
  <c r="C79" i="1"/>
  <c r="C81" i="1"/>
  <c r="C80" i="1"/>
  <c r="C82" i="1"/>
  <c r="C97" i="1"/>
  <c r="C102" i="1"/>
  <c r="C96" i="1"/>
  <c r="C100" i="1"/>
  <c r="C101" i="1"/>
  <c r="C99" i="1"/>
  <c r="C91" i="1"/>
  <c r="A7" i="3"/>
  <c r="B7" i="3" s="1"/>
  <c r="A8" i="3"/>
  <c r="B8" i="3" s="1"/>
  <c r="C7" i="3"/>
  <c r="C8" i="3"/>
  <c r="T7" i="3"/>
  <c r="N23" i="2"/>
  <c r="N22" i="2"/>
  <c r="N21" i="2"/>
  <c r="N20" i="2"/>
  <c r="A27" i="2"/>
  <c r="A24" i="2"/>
  <c r="A26" i="2"/>
  <c r="A34" i="2"/>
  <c r="A28" i="2"/>
  <c r="A25" i="2"/>
  <c r="A33" i="2"/>
  <c r="A29" i="2"/>
  <c r="A32" i="2"/>
  <c r="B32" i="2" s="1"/>
  <c r="A31" i="2"/>
  <c r="B31" i="2" s="1"/>
  <c r="A35" i="2"/>
  <c r="B35" i="2" s="1"/>
  <c r="A30" i="2"/>
  <c r="B30" i="2" s="1"/>
  <c r="B27" i="2"/>
  <c r="B24" i="2"/>
  <c r="B26" i="2"/>
  <c r="B34" i="2"/>
  <c r="B28" i="2"/>
  <c r="B25" i="2"/>
  <c r="B33" i="2"/>
  <c r="B29" i="2"/>
  <c r="C27" i="2"/>
  <c r="C24" i="2"/>
  <c r="C26" i="2"/>
  <c r="C34" i="2"/>
  <c r="C28" i="2"/>
  <c r="C25" i="2"/>
  <c r="C33" i="2"/>
  <c r="C29" i="2"/>
  <c r="C32" i="2"/>
  <c r="C31" i="2"/>
  <c r="C35" i="2"/>
  <c r="C30" i="2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A62" i="1"/>
  <c r="B62" i="1" s="1"/>
  <c r="A65" i="1"/>
  <c r="B65" i="1" s="1"/>
  <c r="A77" i="1"/>
  <c r="B77" i="1" s="1"/>
  <c r="A58" i="1"/>
  <c r="A69" i="1"/>
  <c r="A71" i="1"/>
  <c r="A67" i="1"/>
  <c r="A64" i="1"/>
  <c r="A63" i="1"/>
  <c r="A61" i="1"/>
  <c r="A75" i="1"/>
  <c r="A74" i="1"/>
  <c r="A70" i="1"/>
  <c r="A76" i="1"/>
  <c r="A52" i="1"/>
  <c r="A68" i="1"/>
  <c r="A54" i="1"/>
  <c r="A47" i="1"/>
  <c r="A66" i="1"/>
  <c r="A72" i="1"/>
  <c r="A59" i="1"/>
  <c r="A53" i="1"/>
  <c r="A48" i="1"/>
  <c r="A73" i="1"/>
  <c r="A57" i="1"/>
  <c r="A60" i="1"/>
  <c r="A55" i="1"/>
  <c r="A56" i="1"/>
  <c r="A49" i="1"/>
  <c r="A51" i="1"/>
  <c r="A50" i="1"/>
  <c r="C62" i="1"/>
  <c r="C65" i="1"/>
  <c r="C77" i="1"/>
  <c r="C58" i="1"/>
  <c r="C69" i="1"/>
  <c r="C71" i="1"/>
  <c r="C67" i="1"/>
  <c r="C64" i="1"/>
  <c r="C63" i="1"/>
  <c r="C61" i="1"/>
  <c r="C75" i="1"/>
  <c r="C74" i="1"/>
  <c r="C70" i="1"/>
  <c r="C76" i="1"/>
  <c r="C52" i="1"/>
  <c r="C68" i="1"/>
  <c r="C54" i="1"/>
  <c r="C47" i="1"/>
  <c r="C66" i="1"/>
  <c r="C72" i="1"/>
  <c r="C59" i="1"/>
  <c r="C53" i="1"/>
  <c r="C48" i="1"/>
  <c r="C73" i="1"/>
  <c r="C57" i="1"/>
  <c r="C60" i="1"/>
  <c r="C55" i="1"/>
  <c r="C56" i="1"/>
  <c r="C49" i="1"/>
  <c r="C51" i="1"/>
  <c r="C50" i="1"/>
  <c r="A6" i="3"/>
  <c r="C6" i="3"/>
  <c r="T6" i="3"/>
  <c r="U6" i="3" s="1" a="1"/>
  <c r="N19" i="2"/>
  <c r="O19" i="2" s="1" a="1"/>
  <c r="N18" i="2"/>
  <c r="O18" i="2" s="1" a="1"/>
  <c r="N17" i="2"/>
  <c r="O17" i="2" s="1" a="1"/>
  <c r="N16" i="2"/>
  <c r="O16" i="2" s="1" a="1"/>
  <c r="N15" i="2"/>
  <c r="O15" i="2" s="1" a="1"/>
  <c r="N14" i="2"/>
  <c r="O14" i="2" s="1" a="1"/>
  <c r="N13" i="2"/>
  <c r="O13" i="2" s="1" a="1"/>
  <c r="N12" i="2"/>
  <c r="O12" i="2" s="1" a="1"/>
  <c r="N11" i="2"/>
  <c r="O11" i="2" s="1" a="1"/>
  <c r="N10" i="2"/>
  <c r="O10" i="2" s="1" a="1"/>
  <c r="N9" i="2"/>
  <c r="O9" i="2" s="1" a="1"/>
  <c r="N8" i="2"/>
  <c r="O8" i="2" s="1" a="1"/>
  <c r="N7" i="2"/>
  <c r="O7" i="2" s="1" a="1"/>
  <c r="N6" i="2"/>
  <c r="O6" i="2" s="1" a="1"/>
  <c r="N5" i="2"/>
  <c r="O5" i="2" s="1" a="1"/>
  <c r="N4" i="2"/>
  <c r="O4" i="2" s="1" a="1"/>
  <c r="A15" i="2"/>
  <c r="A12" i="2"/>
  <c r="A14" i="2"/>
  <c r="A16" i="2"/>
  <c r="A22" i="2"/>
  <c r="A13" i="2"/>
  <c r="A20" i="2"/>
  <c r="A17" i="2"/>
  <c r="A19" i="2"/>
  <c r="A18" i="2"/>
  <c r="B18" i="2" s="1"/>
  <c r="A23" i="2"/>
  <c r="B23" i="2" s="1"/>
  <c r="A21" i="2"/>
  <c r="B21" i="2" s="1"/>
  <c r="B16" i="2"/>
  <c r="B22" i="2"/>
  <c r="B13" i="2"/>
  <c r="B20" i="2"/>
  <c r="B17" i="2"/>
  <c r="B19" i="2"/>
  <c r="C15" i="2"/>
  <c r="C12" i="2"/>
  <c r="C14" i="2"/>
  <c r="C16" i="2"/>
  <c r="C22" i="2"/>
  <c r="C13" i="2"/>
  <c r="C20" i="2"/>
  <c r="C17" i="2"/>
  <c r="C19" i="2"/>
  <c r="C18" i="2"/>
  <c r="C23" i="2"/>
  <c r="C21" i="2"/>
  <c r="N14" i="1"/>
  <c r="N13" i="1"/>
  <c r="N12" i="1"/>
  <c r="O12" i="1" s="1" a="1"/>
  <c r="N11" i="1"/>
  <c r="O11" i="1" s="1" a="1"/>
  <c r="N10" i="1"/>
  <c r="N9" i="1"/>
  <c r="N8" i="1"/>
  <c r="N7" i="1"/>
  <c r="N6" i="1"/>
  <c r="N5" i="1"/>
  <c r="N4" i="1"/>
  <c r="A32" i="1"/>
  <c r="B32" i="1" s="1"/>
  <c r="A30" i="1"/>
  <c r="B30" i="1" s="1"/>
  <c r="A41" i="1"/>
  <c r="B41" i="1" s="1"/>
  <c r="A27" i="1"/>
  <c r="B27" i="1" s="1"/>
  <c r="A38" i="1"/>
  <c r="B38" i="1" s="1"/>
  <c r="A42" i="1"/>
  <c r="B42" i="1" s="1"/>
  <c r="A40" i="1"/>
  <c r="B40" i="1" s="1"/>
  <c r="A36" i="1"/>
  <c r="B36" i="1" s="1"/>
  <c r="A34" i="1"/>
  <c r="B34" i="1" s="1"/>
  <c r="A33" i="1"/>
  <c r="B33" i="1" s="1"/>
  <c r="A37" i="1"/>
  <c r="B37" i="1" s="1"/>
  <c r="A31" i="1"/>
  <c r="B31" i="1" s="1"/>
  <c r="A44" i="1"/>
  <c r="B44" i="1" s="1"/>
  <c r="A43" i="1"/>
  <c r="B43" i="1" s="1"/>
  <c r="A39" i="1"/>
  <c r="B39" i="1" s="1"/>
  <c r="A35" i="1"/>
  <c r="B35" i="1" s="1"/>
  <c r="A29" i="1"/>
  <c r="B29" i="1" s="1"/>
  <c r="A45" i="1"/>
  <c r="B45" i="1" s="1"/>
  <c r="A46" i="1"/>
  <c r="B46" i="1" s="1"/>
  <c r="A28" i="1"/>
  <c r="B28" i="1" s="1"/>
  <c r="A26" i="1"/>
  <c r="B26" i="1" s="1"/>
  <c r="C32" i="1"/>
  <c r="C30" i="1"/>
  <c r="C41" i="1"/>
  <c r="C27" i="1"/>
  <c r="C38" i="1"/>
  <c r="C42" i="1"/>
  <c r="C40" i="1"/>
  <c r="C36" i="1"/>
  <c r="C34" i="1"/>
  <c r="C33" i="1"/>
  <c r="C37" i="1"/>
  <c r="C31" i="1"/>
  <c r="C44" i="1"/>
  <c r="C43" i="1"/>
  <c r="C39" i="1"/>
  <c r="C35" i="1"/>
  <c r="C29" i="1"/>
  <c r="C45" i="1"/>
  <c r="C46" i="1"/>
  <c r="C28" i="1"/>
  <c r="C26" i="1"/>
  <c r="T4" i="3"/>
  <c r="U4" i="3" s="1" a="1"/>
  <c r="T5" i="3"/>
  <c r="T3" i="3"/>
  <c r="U3" i="3" s="1" a="1"/>
  <c r="U5" i="3" a="1"/>
  <c r="A5" i="3"/>
  <c r="B5" i="3" s="1"/>
  <c r="C5" i="3"/>
  <c r="A7" i="2"/>
  <c r="A5" i="2"/>
  <c r="A10" i="2"/>
  <c r="A6" i="2"/>
  <c r="A9" i="2"/>
  <c r="A8" i="2"/>
  <c r="A11" i="2"/>
  <c r="B7" i="2"/>
  <c r="B5" i="2"/>
  <c r="C7" i="2"/>
  <c r="C5" i="2"/>
  <c r="C10" i="2"/>
  <c r="C6" i="2"/>
  <c r="C9" i="2"/>
  <c r="C8" i="2"/>
  <c r="C11" i="2"/>
  <c r="A22" i="1"/>
  <c r="B22" i="1" s="1"/>
  <c r="A13" i="1"/>
  <c r="B13" i="1" s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N3" i="1"/>
  <c r="O3" i="1" s="1" a="1"/>
  <c r="B6" i="3" l="1"/>
  <c r="U7" i="3" a="1"/>
  <c r="O24" i="2" a="1"/>
  <c r="O26" i="2" a="1"/>
  <c r="O34" i="2" a="1"/>
  <c r="O22" i="2" a="1"/>
  <c r="O20" i="2" a="1"/>
  <c r="O23" i="2" a="1"/>
  <c r="O21" i="2" a="1"/>
  <c r="O28" i="2" a="1"/>
  <c r="O25" i="2" a="1"/>
  <c r="O33" i="2" a="1"/>
  <c r="O29" i="2" a="1"/>
  <c r="O32" i="2" a="1"/>
  <c r="O31" i="2" a="1"/>
  <c r="O35" i="2" a="1"/>
  <c r="O30" i="2" a="1"/>
  <c r="B10" i="2"/>
  <c r="B6" i="2"/>
  <c r="B9" i="2"/>
  <c r="B8" i="2"/>
  <c r="B11" i="2"/>
  <c r="B15" i="2"/>
  <c r="B12" i="2"/>
  <c r="B14" i="2"/>
  <c r="B58" i="1"/>
  <c r="B69" i="1"/>
  <c r="B71" i="1"/>
  <c r="B67" i="1"/>
  <c r="B64" i="1"/>
  <c r="B63" i="1"/>
  <c r="B61" i="1"/>
  <c r="B75" i="1"/>
  <c r="B74" i="1"/>
  <c r="B70" i="1"/>
  <c r="B76" i="1"/>
  <c r="B52" i="1"/>
  <c r="B68" i="1"/>
  <c r="B54" i="1"/>
  <c r="B47" i="1"/>
  <c r="B66" i="1"/>
  <c r="B72" i="1"/>
  <c r="B59" i="1"/>
  <c r="B53" i="1"/>
  <c r="B48" i="1"/>
  <c r="B73" i="1"/>
  <c r="B57" i="1"/>
  <c r="O27" i="1" a="1"/>
  <c r="O26" i="1" a="1"/>
  <c r="O28" i="1" a="1"/>
  <c r="O39" i="1" a="1"/>
  <c r="O43" i="1" a="1"/>
  <c r="O31" i="1" a="1"/>
  <c r="O33" i="1" a="1"/>
  <c r="O36" i="1" a="1"/>
  <c r="O38" i="1" a="1"/>
  <c r="O42" i="1" a="1"/>
  <c r="O46" i="1" a="1"/>
  <c r="O45" i="1" a="1"/>
  <c r="O29" i="1" a="1"/>
  <c r="O35" i="1" a="1"/>
  <c r="O44" i="1" a="1"/>
  <c r="O37" i="1" a="1"/>
  <c r="O34" i="1" a="1"/>
  <c r="B60" i="1"/>
  <c r="B55" i="1"/>
  <c r="B56" i="1"/>
  <c r="B49" i="1"/>
  <c r="B51" i="1"/>
  <c r="B50" i="1"/>
  <c r="O62" i="1" a="1"/>
  <c r="O65" i="1" a="1"/>
  <c r="O77" i="1" a="1"/>
  <c r="O58" i="1" a="1"/>
  <c r="O69" i="1" a="1"/>
  <c r="O71" i="1" a="1"/>
  <c r="O67" i="1" a="1"/>
  <c r="O40" i="1" a="1"/>
  <c r="O41" i="1" a="1"/>
  <c r="O30" i="1" a="1"/>
  <c r="O32" i="1" a="1"/>
  <c r="O25" i="1" a="1"/>
  <c r="O24" i="1" a="1"/>
  <c r="O23" i="1" a="1"/>
  <c r="O22" i="1" a="1"/>
  <c r="O21" i="1" a="1"/>
  <c r="O20" i="1" a="1"/>
  <c r="O19" i="1" a="1"/>
  <c r="O18" i="1" a="1"/>
  <c r="O17" i="1" a="1"/>
  <c r="O16" i="1" a="1"/>
  <c r="O15" i="1" a="1"/>
  <c r="O14" i="1" a="1"/>
  <c r="O13" i="1" a="1"/>
  <c r="O10" i="1" a="1"/>
  <c r="O9" i="1" a="1"/>
  <c r="O8" i="1" a="1"/>
  <c r="O7" i="1" a="1"/>
  <c r="O6" i="1" a="1"/>
  <c r="O5" i="1" a="1"/>
  <c r="O4" i="1" a="1"/>
  <c r="O64" i="1" a="1"/>
  <c r="O63" i="1" a="1"/>
  <c r="O61" i="1" a="1"/>
  <c r="O75" i="1" a="1"/>
  <c r="O74" i="1" a="1"/>
  <c r="O70" i="1" a="1"/>
  <c r="O76" i="1" a="1"/>
  <c r="O52" i="1" a="1"/>
  <c r="O68" i="1" a="1"/>
  <c r="O54" i="1" a="1"/>
  <c r="O47" i="1" a="1"/>
  <c r="O66" i="1" a="1"/>
  <c r="O72" i="1" a="1"/>
  <c r="O59" i="1" a="1"/>
  <c r="O53" i="1" a="1"/>
  <c r="O48" i="1" a="1"/>
  <c r="O73" i="1" a="1"/>
  <c r="O57" i="1" a="1"/>
  <c r="O60" i="1" a="1"/>
  <c r="O55" i="1" a="1"/>
  <c r="O56" i="1" a="1"/>
  <c r="O49" i="1" a="1"/>
  <c r="O51" i="1" a="1"/>
  <c r="O50" i="1" a="1"/>
  <c r="A4" i="3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<sst xmlns="http://schemas.openxmlformats.org/spreadsheetml/2006/main" count="357" uniqueCount="158">
  <si>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</si>
  <si>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</si>
  <si>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</si>
  <si>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</si>
  <si>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</si>
  <si>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</si>
  <si>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</si>
  <si>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</si>
  <si>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</si>
  <si>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</si>
  <si>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</si>
  <si>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</si>
  <si>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</si>
  <si>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</si>
  <si>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</si>
  <si>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</si>
  <si>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</si>
  <si>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</si>
  <si>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</si>
  <si>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</si>
  <si>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</si>
  <si>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</si>
  <si>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</si>
  <si>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</si>
  <si>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</si>
  <si>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</si>
  <si>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</si>
  <si>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</si>
  <si>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</si>
  <si>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</si>
  <si>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</si>
  <si>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</si>
  <si>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</si>
  <si>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</si>
  <si>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</si>
  <si>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</si>
  <si>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</si>
  <si>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</si>
  <si>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</si>
  <si>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</si>
  <si>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</si>
  <si>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</si>
  <si>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</si>
  <si>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</si>
  <si>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</si>
  <si>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</si>
  <si>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</si>
  <si>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</si>
  <si>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</si>
  <si>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</si>
  <si>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</si>
  <si>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</si>
  <si>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</si>
  <si>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</si>
  <si>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</si>
  <si>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</si>
  <si>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</si>
  <si>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</si>
  <si>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</si>
  <si>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</si>
  <si>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</si>
  <si>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</si>
  <si>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</si>
  <si>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</si>
  <si>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</si>
  <si>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</si>
  <si>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</si>
  <si>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</si>
  <si>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</si>
  <si>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</si>
  <si>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</si>
  <si>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</si>
  <si>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</si>
  <si>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</si>
  <si>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</si>
  <si>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</si>
  <si>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</si>
  <si>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</si>
  <si>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</si>
  <si>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</si>
  <si>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</si>
  <si>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</si>
  <si>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</si>
  <si>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</si>
  <si>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</si>
  <si>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</si>
  <si>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</si>
  <si>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</si>
  <si>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</si>
  <si>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</si>
  <si>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</si>
  <si>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</si>
  <si>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</si>
  <si>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</si>
  <si>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</si>
  <si>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</si>
  <si>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</si>
  <si>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</si>
  <si>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</si>
  <si>
    <t>Eduardo Luis Diaz Olivo</t>
  </si>
  <si>
    <t>Laura Ruiz Palomo</t>
  </si>
  <si>
    <t>Miguel Castro Montes</t>
  </si>
  <si>
    <t>Dario Restrepo Rojas</t>
  </si>
  <si>
    <t>Saray Bastidas Pelaez</t>
  </si>
  <si>
    <t>Santiago Peñates Ramos</t>
  </si>
  <si>
    <t>Joel Jaraba Rosario</t>
  </si>
  <si>
    <t>Angie Tatiana Patiño Segura</t>
  </si>
  <si>
    <t>Evangely Bravo Padilla</t>
  </si>
  <si>
    <t>Valeria Martinez Valero</t>
  </si>
  <si>
    <t>Maria Carolina Tannus</t>
  </si>
  <si>
    <t>Maria Fernanda Cogollo Cogollo</t>
  </si>
  <si>
    <t>Elias Vergara Villalba</t>
  </si>
  <si>
    <t>Ever Junior Polo Lozano</t>
  </si>
  <si>
    <t>Sara Lucia Movilla Villalba</t>
  </si>
  <si>
    <t>Valeria Guerra Machado</t>
  </si>
  <si>
    <t>Maria Virginia Ortiz Cuadrado</t>
  </si>
  <si>
    <t>Matias Gabriel Núñez Salgado</t>
  </si>
  <si>
    <t>katty Saenz Solano</t>
  </si>
  <si>
    <t>Maria Victoria Velasquez</t>
  </si>
  <si>
    <t>Risa Kikuchi</t>
  </si>
  <si>
    <t>Carlos Vizcanio Diaz</t>
  </si>
  <si>
    <t>Luisa Fernanda Simanca Urueta</t>
  </si>
  <si>
    <t>William Yepes Suarez</t>
  </si>
  <si>
    <t>Maria Jose Paternina Doria</t>
  </si>
  <si>
    <t>Francisco Barreiro</t>
  </si>
  <si>
    <t>Any Sofia Rodriguez López</t>
  </si>
  <si>
    <t>Dylan Espinosa</t>
  </si>
  <si>
    <t>Andrea Molina</t>
  </si>
  <si>
    <t>DAIRO LUIS ORTEGA BRACAMONTE</t>
  </si>
  <si>
    <t>Mariana Mendieta Martinez</t>
  </si>
  <si>
    <t>Yina lopez</t>
  </si>
  <si>
    <t>Elias lopez arteaga</t>
  </si>
  <si>
    <t>Ruth Elena LOpez Arteaga</t>
  </si>
  <si>
    <t>Keysi julieth Montiel Mestra</t>
  </si>
  <si>
    <t>Jaime Andres Forero Marquez</t>
  </si>
  <si>
    <t>Mariam Sofia Doria Laza</t>
  </si>
  <si>
    <t>Ana Rodriguez</t>
  </si>
  <si>
    <t>Maria Angel Urango Vasquez</t>
  </si>
  <si>
    <t>Sara Sofia Muñoz Ramirez</t>
  </si>
  <si>
    <t>Mateo Alejandro Vergara Alvarez</t>
  </si>
  <si>
    <t>Maria del Pilar Paternina</t>
  </si>
  <si>
    <t>Maximiliano Pesci Pacheco</t>
  </si>
  <si>
    <t>lercy maria Alvarez garcia</t>
  </si>
  <si>
    <t>Maria del Mar Argumedo</t>
  </si>
  <si>
    <t>Esneider de Jesús Zuluaga Quintero</t>
  </si>
  <si>
    <t>Guadalupe Cortez de Hoyos</t>
  </si>
  <si>
    <t>Jessica marin</t>
  </si>
  <si>
    <t>Maria Jose Villagas De Hoyos</t>
  </si>
  <si>
    <t>Sarah Brieva Rivero</t>
  </si>
  <si>
    <t>Juan Pablo Peña Espitia</t>
  </si>
  <si>
    <t>Jose Alejandro Torres</t>
  </si>
  <si>
    <t>Juan Sebastian Vargas Villamizar</t>
  </si>
  <si>
    <t>Gustavo Machado Petro</t>
  </si>
  <si>
    <t>Elisa del toro Martínez</t>
  </si>
  <si>
    <t>Valery Guerrero Medina</t>
  </si>
  <si>
    <t>Juan Sebastian Taborda</t>
  </si>
  <si>
    <t>Isabel Sofia Diaz blanco</t>
  </si>
  <si>
    <t>Reyk Sayk Alemán Acuña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</si>
</sst>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31</c:v>
                </c:pt>
                <c:pt idx="4">
                  <c:v>25</c:v>
                </c:pt>
                <c:pt idx="5">
                  <c:v>14</c:v>
                </c:pt>
                <c:pt idx="6">
                  <c:v>19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12</c:v>
                </c:pt>
                <c:pt idx="4">
                  <c:v>21</c:v>
                </c:pt>
                <c:pt idx="5">
                  <c:v>10</c:v>
                </c:pt>
                <c:pt idx="6">
                  <c:v>13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27</c:v>
                      </c:pt>
                      <c:pt idx="6">
                        <c:v>38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27</c:v>
                      </c:pt>
                      <c:pt idx="6">
                        <c:v>38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14</c:v>
                      </c:pt>
                      <c:pt idx="6">
                        <c:v>19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10</c:v>
                      </c:pt>
                      <c:pt idx="6">
                        <c:v>13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34</c:v>
                </c:pt>
                <c:pt idx="3">
                  <c:v>45</c:v>
                </c:pt>
                <c:pt idx="4">
                  <c:v>48</c:v>
                </c:pt>
                <c:pt idx="5">
                  <c:v>27</c:v>
                </c:pt>
                <c:pt idx="6">
                  <c:v>38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14</c:v>
                      </c:pt>
                      <c:pt idx="6">
                        <c:v>19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10</c:v>
                      </c:pt>
                      <c:pt idx="6">
                        <c:v>13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35" totalsRowShown="0" headerRowDxfId="34" dataDxfId="33" tableBorderDxfId="32">
  <autoFilter ref="A2:O135" xr:uid="{AE1B38D2-F5E0-437E-A0C7-D4FAEDCDAD9F}"/>
  <sortState xmlns:xlrd2="http://schemas.microsoft.com/office/spreadsheetml/2017/richdata2" ref="A3:O135">
    <sortCondition ref="D3:D25"/>
    <sortCondition ref="A3:A25"/>
    <sortCondition ref="F3:F25"/>
  </sortState>
  <tableColumns count="15">
    <tableColumn id="15" xr3:uid="{06087576-FB0C-44ED-9CDF-C51BACC66F7B}" name="#" dataDxfId="31">
      <calculatedColumnFormula>MONTH(NIVEL_1[[#This Row],[Fecha de Evaluación]])</calculatedColumnFormula>
    </tableColumn>
    <tableColumn id="1" xr3:uid="{8EF9B412-985A-48AA-9792-B95947050FCB}" name="NIVEL" dataDxfId="30">
      <calculatedColumnFormula>IF(NIVEL_1[[#This Row],['#]]&gt;0,"NIVEL 1","")</calculatedColumnFormula>
    </tableColumn>
    <tableColumn id="2" xr3:uid="{2E9F9510-35A9-488E-B1DE-D74FC37EE91B}" name="MES" dataDxfId="29">
      <calculatedColumnFormula>TEXT(NIVEL_1[[#This Row],[Fecha de Evaluación]],"MMMM")</calculatedColumnFormula>
    </tableColumn>
    <tableColumn id="3" xr3:uid="{9F822B2A-0A90-4E18-A961-AC7ADB5E33D7}" name="Fecha de Evaluación" dataDxfId="28"/>
    <tableColumn id="4" xr3:uid="{F1A37849-EC75-4EFB-8761-8B4816148787}" name="NOMBRE DEL ALUMNO" dataDxfId="27"/>
    <tableColumn id="5" xr3:uid="{75F8F1A3-4C2C-48D8-BDA8-8EDA5D423C89}" name="DOCUMENTO" dataDxfId="26"/>
    <tableColumn id="6" xr3:uid="{C323AA94-0265-4893-9265-35B1038BBE77}" name="AMBIENTACION" dataDxfId="25"/>
    <tableColumn id="7" xr3:uid="{508CEACB-AA59-433A-AFBE-23B4CF5354AF}" name="FLOTACION DEFENSIVA" dataDxfId="24"/>
    <tableColumn id="8" xr3:uid="{596F9D83-7601-4A50-9A71-07FA546F1FDC}" name="PATADA CROL" dataDxfId="23"/>
    <tableColumn id="9" xr3:uid="{1386C268-2BDD-48F8-9EC7-CB447E9A76B9}" name="PADATA ESPALDA" dataDxfId="22"/>
    <tableColumn id="10" xr3:uid="{B76B36D4-2E2E-4645-8403-BA569067D6EB}" name="ENS. CROL" dataDxfId="21"/>
    <tableColumn id="11" xr3:uid="{A284663E-58C2-40EC-80B3-D1F680E97AF3}" name="ENS ESPALDA" dataDxfId="20"/>
    <tableColumn id="12" xr3:uid="{EA24CD10-C3F1-45CB-A915-9CB5EA29D8A1}" name="SALTO" dataDxfId="19"/>
    <tableColumn id="13" xr3:uid="{95D67B47-0B42-429F-9EC3-5161FF1E86D0}" name="Pase de Nivel 4,7 ptos" dataDxfId="18">
      <calculatedColumnFormula>IFERROR(AVERAGE('NIVEL 1'!G3:M3),"-")</calculatedColumnFormula>
    </tableColumn>
    <tableColumn id="14" xr3:uid="{20659D21-4226-4F1C-9913-990D646166B3}" name="Cambio de Nivel" dataDxfId="17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79" totalsRowShown="0" headerRowDxfId="16" dataDxfId="15">
  <autoFilter ref="A2:O79" xr:uid="{D3B83B8F-7030-4C6B-865D-1CEF5FF0A135}"/>
  <sortState xmlns:xlrd2="http://schemas.microsoft.com/office/spreadsheetml/2017/richdata2" ref="A3:O79">
    <sortCondition ref="A3:A4"/>
    <sortCondition ref="F3:F4"/>
  </sortState>
  <tableColumns count="15">
    <tableColumn id="15" xr3:uid="{09B76DB3-82BE-4C0B-B453-BF194A257258}" name="#" dataDxfId="14">
      <calculatedColumnFormula>MONTH(NIVEL_2[[#This Row],[Fecha de Evaluación]])</calculatedColumnFormula>
    </tableColumn>
    <tableColumn id="1" xr3:uid="{A30C7826-C605-4AD6-9BD1-976B3108B364}" name="NIVEL" dataDxfId="13">
      <calculatedColumnFormula>IF(NIVEL_2[[#This Row],['#]]&gt;0,"NIVEL 2","")</calculatedColumnFormula>
    </tableColumn>
    <tableColumn id="2" xr3:uid="{278C7F91-1379-491F-9B18-95B5FB0F5B4C}" name="MES" dataDxfId="12">
      <calculatedColumnFormula>TEXT(NIVEL_2[[#This Row],[Fecha de Evaluación]],"MMMM")</calculatedColumnFormula>
    </tableColumn>
    <tableColumn id="3" xr3:uid="{61734E93-B6EC-4BCE-81B8-694554146D51}" name="Fecha de Evaluación" dataDxfId="11"/>
    <tableColumn id="4" xr3:uid="{52287499-B96A-4EC4-9C46-4A9605C862D7}" name="NOMBRE DEL ALUMNO" dataDxfId="10"/>
    <tableColumn id="5" xr3:uid="{0ECA98BC-FB01-4F67-8A05-CB651A1C8B21}" name="DOCUMENTO" dataDxfId="9"/>
    <tableColumn id="6" xr3:uid="{4E959843-5A00-4667-9538-531D9390ABDE}" name="TECN ESTILO CROL" dataDxfId="8"/>
    <tableColumn id="7" xr3:uid="{D6B9A5DE-DA9B-48F2-BC77-F1A1DF233559}" name="TECN ESTILO ESPAL" dataDxfId="7"/>
    <tableColumn id="8" xr3:uid="{3674AFCF-043A-4668-A622-83DFE8ED6907}" name="ENSE EST PECHO" dataDxfId="6"/>
    <tableColumn id="9" xr3:uid="{4E82D7B2-52CF-420D-97A4-0A59EFC666C9}" name="ENSE EST MARIPOSA" dataDxfId="5"/>
    <tableColumn id="10" xr3:uid="{BF17361D-FC57-499E-9503-C2F33EB21C88}" name="INI SALIDA OLIMPICA" dataDxfId="4"/>
    <tableColumn id="11" xr3:uid="{8B1BEFD7-6FF5-425A-89DA-581562D0A38F}" name="50 m LIBRE" dataDxfId="3"/>
    <tableColumn id="12" xr3:uid="{991D9CFF-9F59-44B7-AA62-F62FE91F51E4}" name="INI VUELTA OLIMPICA" dataDxfId="2"/>
    <tableColumn id="13" xr3:uid="{1083E4EB-1DAF-41A3-B727-7BF532F1CB2C}" name="Pase de Nivel 4,7 ptos" dataDxfId="1">
      <calculatedColumnFormula>IFERROR(AVERAGE('NIVEL 2'!G3:M3),"-")</calculatedColumnFormula>
    </tableColumn>
    <tableColumn id="14" xr3:uid="{EA8CA3F6-4262-42A0-A47A-543052CC352E}" name="Cambio de Nivel" dataDxfId="0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19" totalsRowShown="0" headerRowDxfId="64" dataDxfId="63" tableBorderDxfId="62">
  <autoFilter ref="A2:U19" xr:uid="{1228A722-3B02-41C4-936F-4D7749F95EAB}"/>
  <sortState xmlns:xlrd2="http://schemas.microsoft.com/office/spreadsheetml/2017/richdata2" ref="A3:U19">
    <sortCondition ref="A3"/>
    <sortCondition ref="F3"/>
  </sortState>
  <tableColumns count="21">
    <tableColumn id="20" xr3:uid="{323FD556-7D50-469A-834D-326AE7F31F42}" name="#" dataDxfId="61">
      <calculatedColumnFormula>MONTH(NIVEL_3[[#This Row],[Fecha de Evaluación]])</calculatedColumnFormula>
    </tableColumn>
    <tableColumn id="21" xr3:uid="{10AF1518-13B3-40F9-A98E-94CD6E53DC3C}" name="NIVEL" dataDxfId="60">
      <calculatedColumnFormula>IF(NIVEL_3[[#This Row],['#]]&gt;0,"NIVEL 3","")</calculatedColumnFormula>
    </tableColumn>
    <tableColumn id="1" xr3:uid="{EB57D90D-D066-4E6D-A973-52FAC5B51F0B}" name="MES" dataDxfId="59">
      <calculatedColumnFormula>TEXT(NIVEL_3[[#This Row],[Fecha de Evaluación]],"MMMM")</calculatedColumnFormula>
    </tableColumn>
    <tableColumn id="2" xr3:uid="{0FF92161-361C-4203-A4D2-423DC120EB57}" name="Fecha de Evaluación" dataDxfId="58"/>
    <tableColumn id="3" xr3:uid="{717B9D19-3A86-46A2-91B1-EC86BF2E533D}" name="NOMBRE DEL ALUMNO" dataDxfId="57"/>
    <tableColumn id="4" xr3:uid="{C69B0C8E-7042-4239-BC38-5DE04F3B8AED}" name="DOCUMENTO" dataDxfId="56"/>
    <tableColumn id="5" xr3:uid="{1EE2B091-87B8-431E-9319-6E87870DA8A7}" name="100m CROL" dataDxfId="55"/>
    <tableColumn id="6" xr3:uid="{149128A8-27D9-491E-BD3D-385F53877A11}" name="VUELTA OLIMP. CROL" dataDxfId="54"/>
    <tableColumn id="7" xr3:uid="{124D09B0-F954-4F41-A77B-869A1BDB006E}" name="LLEGADA CROL" dataDxfId="53"/>
    <tableColumn id="8" xr3:uid="{350D03DD-5253-4CC2-BFB2-33A4611914A5}" name="SALIDA OLIMP. ESPALDA" dataDxfId="52"/>
    <tableColumn id="9" xr3:uid="{06F7D230-4D74-4E3E-8042-C13E6EA69D7C}" name="100m ESPALDA" dataDxfId="51"/>
    <tableColumn id="10" xr3:uid="{C7656A52-730D-4608-BED4-BE3F03A2F535}" name="VUELTA OLIMP. ESPALDA" dataDxfId="50"/>
    <tableColumn id="11" xr3:uid="{826AA493-8CDE-43B4-9D76-F71252CD2636}" name="LLEGADA ESPALDA" dataDxfId="49"/>
    <tableColumn id="12" xr3:uid="{EA88C99C-8AE3-41D5-88C9-4D1A205AE057}" name="SALIDA OLIMP. MARIPOSA" dataDxfId="48"/>
    <tableColumn id="13" xr3:uid="{6446B914-DD25-438C-985E-231095C15D34}" name="25m MARIPOSA" dataDxfId="47"/>
    <tableColumn id="14" xr3:uid="{ADF9866C-0662-48A4-BD02-64795FE4507E}" name="LLEGADA MARIPOSA" dataDxfId="46"/>
    <tableColumn id="15" xr3:uid="{B9BF3AB6-845A-4D24-8DE1-E6713B1B6A8E}" name="SALIDA OLIMP. PECHO" dataDxfId="45"/>
    <tableColumn id="16" xr3:uid="{66B4F0A1-9475-49BD-BDF4-157D5AF07759}" name="25m PECHO" dataDxfId="44"/>
    <tableColumn id="17" xr3:uid="{C4433153-B84C-45D5-9DAA-18C80B367D88}" name="LLEGADA PECHO" dataDxfId="43"/>
    <tableColumn id="18" xr3:uid="{3A6F3CA6-C52F-40C3-9659-D551D3CB8905}" name="Pase de Nivel 4,9 ptos" dataDxfId="42">
      <calculatedColumnFormula>IFERROR(AVERAGE(G3:S3),"-")</calculatedColumnFormula>
    </tableColumn>
    <tableColumn id="19" xr3:uid="{A6317C45-4DC3-4C83-B4AE-F03D89924519}" name="Cambio de Nivel" dataDxfId="41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40" dataDxfId="39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38"/>
    <tableColumn id="1" xr3:uid="{47EC1D0D-C132-491F-995F-583089EB3DC6}" name="NIVEL" dataDxfId="37"/>
    <tableColumn id="2" xr3:uid="{E3EBB2A9-A349-4F03-8A3C-7C71DFE91475}" name="MES" dataDxfId="36"/>
    <tableColumn id="4" xr3:uid="{15956556-3BA8-42CE-A623-63D4505D4189}" name="NOMBRE DEL ALUMNO" dataDxfId="3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34</v>
      </c>
      <c r="C4" s="17">
        <f>COUNTIF('NIVEL 1'!$C:$C,REPORTE!A4)</f>
        <v>21</v>
      </c>
      <c r="D4" s="17">
        <f>COUNTIFS('NIVEL 1'!$C:$C,Tabla11[[#This Row],[MESES]],'NIVEL 1'!$O:$O,"CAMBIA A NIVEL 2")</f>
        <v>4</v>
      </c>
      <c r="E4" s="17">
        <f>COUNTIF('NIVEL 2'!$C:$C,REPORTE!A4)</f>
        <v>12</v>
      </c>
      <c r="F4" s="17">
        <f>COUNTIFS('NIVEL 2'!$C:$C,Tabla11[[#This Row],[MESES]],'NIVEL 2'!$O:$O,"CAMBIA A NIVEL 3")</f>
        <v>0</v>
      </c>
      <c r="G4" s="17">
        <f>COUNTIF('NIVEL 3'!$C:$C,REPORTE!A4)</f>
        <v>1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45</v>
      </c>
      <c r="C5" s="17">
        <f>COUNTIF('NIVEL 1'!$C:$C,REPORTE!A5)</f>
        <v>31</v>
      </c>
      <c r="D5" s="17">
        <f>COUNTIFS('NIVEL 1'!$C:$C,Tabla11[[#This Row],[MESES]],'NIVEL 1'!$O:$O,"CAMBIA A NIVEL 2")</f>
        <v>7</v>
      </c>
      <c r="E5" s="17">
        <f>COUNTIF('NIVEL 2'!$C:$C,REPORTE!A5)</f>
        <v>12</v>
      </c>
      <c r="F5" s="17">
        <f>COUNTIFS('NIVEL 2'!$C:$C,Tabla11[[#This Row],[MESES]],'NIVEL 2'!$O:$O,"CAMBIA A NIVEL 3")</f>
        <v>0</v>
      </c>
      <c r="G5" s="17">
        <f>COUNTIF('NIVEL 3'!$C:$C,REPORTE!A5)</f>
        <v>2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48</v>
      </c>
      <c r="C6" s="17">
        <f>COUNTIF('NIVEL 1'!$C:$C,REPORTE!A6)</f>
        <v>25</v>
      </c>
      <c r="D6" s="17">
        <f>COUNTIFS('NIVEL 1'!$C:$C,Tabla11[[#This Row],[MESES]],'NIVEL 1'!$O:$O,"CAMBIA A NIVEL 2")</f>
        <v>3</v>
      </c>
      <c r="E6" s="17">
        <f>COUNTIF('NIVEL 2'!$C:$C,REPORTE!A6)</f>
        <v>21</v>
      </c>
      <c r="F6" s="17">
        <f>COUNTIFS('NIVEL 2'!$C:$C,Tabla11[[#This Row],[MESES]],'NIVEL 2'!$O:$O,"CAMBIA A NIVEL 3")</f>
        <v>2</v>
      </c>
      <c r="G6" s="17">
        <f>COUNTIF('NIVEL 3'!$C:$C,REPORTE!A6)</f>
        <v>2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27</v>
      </c>
      <c r="C7" s="17">
        <f>COUNTIF('NIVEL 1'!$C:$C,REPORTE!A7)</f>
        <v>14</v>
      </c>
      <c r="D7" s="17">
        <f>COUNTIFS('NIVEL 1'!$C:$C,Tabla11[[#This Row],[MESES]],'NIVEL 1'!$O:$O,"CAMBIA A NIVEL 2")</f>
        <v>2</v>
      </c>
      <c r="E7" s="17">
        <f>COUNTIF('NIVEL 2'!$C:$C,REPORTE!A7)</f>
        <v>10</v>
      </c>
      <c r="F7" s="17">
        <f>COUNTIFS('NIVEL 2'!$C:$C,Tabla11[[#This Row],[MESES]],'NIVEL 2'!$O:$O,"CAMBIA A NIVEL 3")</f>
        <v>3</v>
      </c>
      <c r="G7" s="17">
        <f>COUNTIF('NIVEL 3'!$C:$C,REPORTE!A7)</f>
        <v>3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38</v>
      </c>
      <c r="C8" s="17">
        <f>COUNTIF('NIVEL 1'!$C:$C,REPORTE!A8)</f>
        <v>19</v>
      </c>
      <c r="D8" s="17">
        <f>COUNTIFS('NIVEL 1'!$C:$C,Tabla11[[#This Row],[MESES]],'NIVEL 1'!$O:$O,"CAMBIA A NIVEL 2")</f>
        <v>2</v>
      </c>
      <c r="E8" s="17">
        <f>COUNTIF('NIVEL 2'!$C:$C,REPORTE!A8)</f>
        <v>13</v>
      </c>
      <c r="F8" s="17">
        <f>COUNTIFS('NIVEL 2'!$C:$C,Tabla11[[#This Row],[MESES]],'NIVEL 2'!$O:$O,"CAMBIA A NIVEL 3")</f>
        <v>0</v>
      </c>
      <c r="G8" s="17">
        <f>COUNTIF('NIVEL 3'!$C:$C,REPORTE!A8)</f>
        <v>6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5"/>
  <sheetViews>
    <sheetView workbookViewId="0">
      <pane ySplit="2" topLeftCell="A115" activePane="bottomLeft" state="frozenSplit"/>
      <selection activeCell="F38" sqref="F38:U41"/>
      <selection pane="bottomLeft" activeCell="N128" sqref="N128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46111</v>
      </c>
      <c r="E26" s="20" t="s">
        <v>110</v>
      </c>
      <c r="F26" s="1">
        <v>1003027198</v>
      </c>
      <c r="G26" s="1">
        <v>5</v>
      </c>
      <c r="H26" s="1">
        <v>5</v>
      </c>
      <c r="I26" s="1">
        <v>4</v>
      </c>
      <c r="J26" s="1">
        <v>4</v>
      </c>
      <c r="K26" s="1">
        <v>4</v>
      </c>
      <c r="L26" s="1">
        <v>4</v>
      </c>
      <c r="M26" s="1">
        <v>5</v>
      </c>
      <c r="N26" s="19">
        <f>IFERROR(AVERAGE('NIVEL 1'!G26:M26),"-")</f>
        <v>4.4285714285714288</v>
      </c>
      <c r="O26" s="18" t="str" cm="1">
        <f t="array" ref="O26">_xlfn.IFS(NIVEL_1[[#This Row],[Pase de Nivel 4,7 ptos]]="-","-",NIVEL_1[[#This Row],[Pase de Nivel 4,7 ptos]]&gt;=4.7,"CAMBIA A NIVEL 2",NIVEL_1[[#This Row],[Pase de Nivel 4,7 ptos]]&lt;=4.7,"-")</f>
        <v>-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46111</v>
      </c>
      <c r="E27" s="20" t="s">
        <v>64</v>
      </c>
      <c r="F27" s="1">
        <v>1035017030</v>
      </c>
      <c r="G27" s="1">
        <v>5</v>
      </c>
      <c r="H27" s="1">
        <v>5</v>
      </c>
      <c r="I27" s="1">
        <v>5</v>
      </c>
      <c r="J27" s="1">
        <v>3</v>
      </c>
      <c r="K27" s="1">
        <v>4</v>
      </c>
      <c r="L27" s="1">
        <v>3</v>
      </c>
      <c r="M27" s="1">
        <v>5</v>
      </c>
      <c r="N27" s="19">
        <f>IFERROR(AVERAGE('NIVEL 1'!G27:M27),"-")</f>
        <v>4.2857142857142856</v>
      </c>
      <c r="O27" s="18" t="str" cm="1">
        <f t="array" ref="O27">_xlfn.IFS(NIVEL_1[[#This Row],[Pase de Nivel 4,7 ptos]]="-","-",NIVEL_1[[#This Row],[Pase de Nivel 4,7 ptos]]&gt;=4.7,"CAMBIA A NIVEL 2",NIVEL_1[[#This Row],[Pase de Nivel 4,7 ptos]]&lt;=4.7,"-")</f>
        <v>-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46111</v>
      </c>
      <c r="E28" s="20" t="s">
        <v>109</v>
      </c>
      <c r="F28" s="1">
        <v>1062424218</v>
      </c>
      <c r="G28" s="1">
        <v>5</v>
      </c>
      <c r="H28" s="1">
        <v>5</v>
      </c>
      <c r="I28" s="1">
        <v>5</v>
      </c>
      <c r="J28" s="1">
        <v>4</v>
      </c>
      <c r="K28" s="1">
        <v>4</v>
      </c>
      <c r="L28" s="1">
        <v>4</v>
      </c>
      <c r="M28" s="1">
        <v>5</v>
      </c>
      <c r="N28" s="19">
        <f>IFERROR(AVERAGE('NIVEL 1'!G28:M28),"-")</f>
        <v>4.5714285714285712</v>
      </c>
      <c r="O28" s="18" t="str" cm="1">
        <f t="array" ref="O28">_xlfn.IFS(NIVEL_1[[#This Row],[Pase de Nivel 4,7 ptos]]="-","-",NIVEL_1[[#This Row],[Pase de Nivel 4,7 ptos]]&gt;=4.7,"CAMBIA A NIVEL 2",NIVEL_1[[#This Row],[Pase de Nivel 4,7 ptos]]&lt;=4.7,"-")</f>
        <v>-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46111</v>
      </c>
      <c r="E29" s="20" t="s">
        <v>106</v>
      </c>
      <c r="F29" s="1">
        <v>1062436143</v>
      </c>
      <c r="G29" s="1">
        <v>5</v>
      </c>
      <c r="H29" s="1">
        <v>5</v>
      </c>
      <c r="I29" s="1">
        <v>3</v>
      </c>
      <c r="J29" s="1">
        <v>3</v>
      </c>
      <c r="K29" s="1">
        <v>2</v>
      </c>
      <c r="L29" s="1">
        <v>2</v>
      </c>
      <c r="M29" s="1">
        <v>5</v>
      </c>
      <c r="N29" s="19">
        <f>IFERROR(AVERAGE('NIVEL 1'!G29:M29),"-")</f>
        <v>3.5714285714285716</v>
      </c>
      <c r="O29" s="18" t="str" cm="1">
        <f t="array" ref="O29">_xlfn.IFS(NIVEL_1[[#This Row],[Pase de Nivel 4,7 ptos]]="-","-",NIVEL_1[[#This Row],[Pase de Nivel 4,7 ptos]]&gt;=4.7,"CAMBIA A NIVEL 2",NIVEL_1[[#This Row],[Pase de Nivel 4,7 ptos]]&lt;=4.7,"-")</f>
        <v>-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46111</v>
      </c>
      <c r="E30" s="20" t="s">
        <v>100</v>
      </c>
      <c r="F30" s="1">
        <v>1062444411</v>
      </c>
      <c r="G30" s="1">
        <v>5</v>
      </c>
      <c r="H30" s="1">
        <v>5</v>
      </c>
      <c r="I30" s="1">
        <v>5</v>
      </c>
      <c r="J30" s="1">
        <v>5</v>
      </c>
      <c r="K30" s="1">
        <v>5</v>
      </c>
      <c r="L30" s="1">
        <v>5</v>
      </c>
      <c r="M30" s="1">
        <v>5</v>
      </c>
      <c r="N30" s="19">
        <f>IFERROR(AVERAGE('NIVEL 1'!G30:M30),"-")</f>
        <v>5</v>
      </c>
      <c r="O30" s="18" t="str" cm="1">
        <f t="array" ref="O30">_xlfn.IFS(NIVEL_1[[#This Row],[Pase de Nivel 4,7 ptos]]="-","-",NIVEL_1[[#This Row],[Pase de Nivel 4,7 ptos]]&gt;=4.7,"CAMBIA A NIVEL 2",NIVEL_1[[#This Row],[Pase de Nivel 4,7 ptos]]&lt;=4.7,"-")</f>
        <v>CAMBIA A NIVEL 2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46111</v>
      </c>
      <c r="E31" s="20" t="s">
        <v>79</v>
      </c>
      <c r="F31" s="1">
        <v>1062540875</v>
      </c>
      <c r="G31" s="1">
        <v>5</v>
      </c>
      <c r="H31" s="1">
        <v>5</v>
      </c>
      <c r="I31" s="1">
        <v>3</v>
      </c>
      <c r="J31" s="1">
        <v>3</v>
      </c>
      <c r="K31" s="1">
        <v>3</v>
      </c>
      <c r="L31" s="1">
        <v>2</v>
      </c>
      <c r="M31" s="1">
        <v>4</v>
      </c>
      <c r="N31" s="19">
        <f>IFERROR(AVERAGE('NIVEL 1'!G31:M31),"-")</f>
        <v>3.5714285714285716</v>
      </c>
      <c r="O31" s="18" t="str" cm="1">
        <f t="array" ref="O31">_xlfn.IFS(NIVEL_1[[#This Row],[Pase de Nivel 4,7 ptos]]="-","-",NIVEL_1[[#This Row],[Pase de Nivel 4,7 ptos]]&gt;=4.7,"CAMBIA A NIVEL 2",NIVEL_1[[#This Row],[Pase de Nivel 4,7 ptos]]&lt;=4.7,"-")</f>
        <v>-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46111</v>
      </c>
      <c r="E32" s="20" t="s">
        <v>99</v>
      </c>
      <c r="F32" s="1">
        <v>1062544508</v>
      </c>
      <c r="G32" s="1">
        <v>5</v>
      </c>
      <c r="H32" s="1">
        <v>5</v>
      </c>
      <c r="I32" s="1">
        <v>5</v>
      </c>
      <c r="J32" s="1">
        <v>4</v>
      </c>
      <c r="K32" s="1">
        <v>4</v>
      </c>
      <c r="L32" s="1">
        <v>4</v>
      </c>
      <c r="M32" s="1">
        <v>5</v>
      </c>
      <c r="N32" s="19">
        <f>IFERROR(AVERAGE('NIVEL 1'!G32:M32),"-")</f>
        <v>4.5714285714285712</v>
      </c>
      <c r="O32" s="18" t="str" cm="1">
        <f t="array" ref="O32">_xlfn.IFS(NIVEL_1[[#This Row],[Pase de Nivel 4,7 ptos]]="-","-",NIVEL_1[[#This Row],[Pase de Nivel 4,7 ptos]]&gt;=4.7,"CAMBIA A NIVEL 2",NIVEL_1[[#This Row],[Pase de Nivel 4,7 ptos]]&lt;=4.7,"-")</f>
        <v>-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46111</v>
      </c>
      <c r="E33" s="20" t="s">
        <v>70</v>
      </c>
      <c r="F33" s="1">
        <v>1062546526</v>
      </c>
      <c r="G33" s="1">
        <v>5</v>
      </c>
      <c r="H33" s="1">
        <v>5</v>
      </c>
      <c r="I33" s="1">
        <v>3</v>
      </c>
      <c r="J33" s="1">
        <v>3</v>
      </c>
      <c r="K33" s="1">
        <v>3</v>
      </c>
      <c r="L33" s="1">
        <v>2</v>
      </c>
      <c r="M33" s="1">
        <v>5</v>
      </c>
      <c r="N33" s="19">
        <f>IFERROR(AVERAGE('NIVEL 1'!G33:M33),"-")</f>
        <v>3.7142857142857144</v>
      </c>
      <c r="O33" s="18" t="str" cm="1">
        <f t="array" ref="O33">_xlfn.IFS(NIVEL_1[[#This Row],[Pase de Nivel 4,7 ptos]]="-","-",NIVEL_1[[#This Row],[Pase de Nivel 4,7 ptos]]&gt;=4.7,"CAMBIA A NIVEL 2",NIVEL_1[[#This Row],[Pase de Nivel 4,7 ptos]]&lt;=4.7,"-")</f>
        <v>-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46111</v>
      </c>
      <c r="E34" s="20" t="s">
        <v>68</v>
      </c>
      <c r="F34" s="1">
        <v>1062966144</v>
      </c>
      <c r="G34" s="1">
        <v>5</v>
      </c>
      <c r="H34" s="1">
        <v>5</v>
      </c>
      <c r="I34" s="1">
        <v>5</v>
      </c>
      <c r="J34" s="1">
        <v>4</v>
      </c>
      <c r="K34" s="1">
        <v>4</v>
      </c>
      <c r="L34" s="1">
        <v>4</v>
      </c>
      <c r="M34" s="1">
        <v>5</v>
      </c>
      <c r="N34" s="19">
        <f>IFERROR(AVERAGE('NIVEL 1'!G34:M34),"-")</f>
        <v>4.5714285714285712</v>
      </c>
      <c r="O34" s="18" t="str" cm="1">
        <f t="array" ref="O34">_xlfn.IFS(NIVEL_1[[#This Row],[Pase de Nivel 4,7 ptos]]="-","-",NIVEL_1[[#This Row],[Pase de Nivel 4,7 ptos]]&gt;=4.7,"CAMBIA A NIVEL 2",NIVEL_1[[#This Row],[Pase de Nivel 4,7 ptos]]&lt;=4.7,"-")</f>
        <v>-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46111</v>
      </c>
      <c r="E35" s="20" t="s">
        <v>105</v>
      </c>
      <c r="F35" s="1">
        <v>1067940515</v>
      </c>
      <c r="G35" s="1">
        <v>5</v>
      </c>
      <c r="H35" s="1">
        <v>5</v>
      </c>
      <c r="I35" s="1">
        <v>4</v>
      </c>
      <c r="J35" s="1">
        <v>3</v>
      </c>
      <c r="K35" s="1">
        <v>4</v>
      </c>
      <c r="L35" s="1">
        <v>3</v>
      </c>
      <c r="M35" s="1">
        <v>5</v>
      </c>
      <c r="N35" s="19">
        <f>IFERROR(AVERAGE('NIVEL 1'!G35:M35),"-")</f>
        <v>4.1428571428571432</v>
      </c>
      <c r="O35" s="18" t="str" cm="1">
        <f t="array" ref="O35">_xlfn.IFS(NIVEL_1[[#This Row],[Pase de Nivel 4,7 ptos]]="-","-",NIVEL_1[[#This Row],[Pase de Nivel 4,7 ptos]]&gt;=4.7,"CAMBIA A NIVEL 2",NIVEL_1[[#This Row],[Pase de Nivel 4,7 ptos]]&lt;=4.7,"-")</f>
        <v>-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46111</v>
      </c>
      <c r="E36" s="20" t="s">
        <v>67</v>
      </c>
      <c r="F36" s="1">
        <v>1067945529</v>
      </c>
      <c r="G36" s="1">
        <v>5</v>
      </c>
      <c r="H36" s="1">
        <v>5</v>
      </c>
      <c r="I36" s="1">
        <v>5</v>
      </c>
      <c r="J36" s="1">
        <v>4</v>
      </c>
      <c r="K36" s="1">
        <v>4</v>
      </c>
      <c r="L36" s="1">
        <v>4</v>
      </c>
      <c r="M36" s="1">
        <v>5</v>
      </c>
      <c r="N36" s="19">
        <f>IFERROR(AVERAGE('NIVEL 1'!G36:M36),"-")</f>
        <v>4.5714285714285712</v>
      </c>
      <c r="O36" s="18" t="str" cm="1">
        <f t="array" ref="O36">_xlfn.IFS(NIVEL_1[[#This Row],[Pase de Nivel 4,7 ptos]]="-","-",NIVEL_1[[#This Row],[Pase de Nivel 4,7 ptos]]&gt;=4.7,"CAMBIA A NIVEL 2",NIVEL_1[[#This Row],[Pase de Nivel 4,7 ptos]]&lt;=4.7,"-")</f>
        <v>-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46111</v>
      </c>
      <c r="E37" s="20" t="s">
        <v>71</v>
      </c>
      <c r="F37" s="1">
        <v>1067956606</v>
      </c>
      <c r="G37" s="1">
        <v>5</v>
      </c>
      <c r="H37" s="1">
        <v>5</v>
      </c>
      <c r="I37" s="1">
        <v>5</v>
      </c>
      <c r="J37" s="1">
        <v>5</v>
      </c>
      <c r="K37" s="1">
        <v>5</v>
      </c>
      <c r="L37" s="1">
        <v>5</v>
      </c>
      <c r="M37" s="1">
        <v>5</v>
      </c>
      <c r="N37" s="19">
        <f>IFERROR(AVERAGE('NIVEL 1'!G37:M37),"-")</f>
        <v>5</v>
      </c>
      <c r="O37" s="18" t="str" cm="1">
        <f t="array" ref="O37">_xlfn.IFS(NIVEL_1[[#This Row],[Pase de Nivel 4,7 ptos]]="-","-",NIVEL_1[[#This Row],[Pase de Nivel 4,7 ptos]]&gt;=4.7,"CAMBIA A NIVEL 2",NIVEL_1[[#This Row],[Pase de Nivel 4,7 ptos]]&lt;=4.7,"-")</f>
        <v>CAMBIA A NIVEL 2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46111</v>
      </c>
      <c r="E38" s="20" t="s">
        <v>101</v>
      </c>
      <c r="F38" s="1">
        <v>1068441879</v>
      </c>
      <c r="G38" s="1">
        <v>5</v>
      </c>
      <c r="H38" s="1">
        <v>3</v>
      </c>
      <c r="I38" s="1">
        <v>2</v>
      </c>
      <c r="J38" s="1">
        <v>3</v>
      </c>
      <c r="K38" s="1">
        <v>2</v>
      </c>
      <c r="L38" s="1">
        <v>2</v>
      </c>
      <c r="M38" s="1">
        <v>4</v>
      </c>
      <c r="N38" s="19">
        <f>IFERROR(AVERAGE('NIVEL 1'!G38:M38),"-")</f>
        <v>3</v>
      </c>
      <c r="O38" s="18" t="str" cm="1">
        <f t="array" ref="O38">_xlfn.IFS(NIVEL_1[[#This Row],[Pase de Nivel 4,7 ptos]]="-","-",NIVEL_1[[#This Row],[Pase de Nivel 4,7 ptos]]&gt;=4.7,"CAMBIA A NIVEL 2",NIVEL_1[[#This Row],[Pase de Nivel 4,7 ptos]]&lt;=4.7,"-")</f>
        <v>-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46111</v>
      </c>
      <c r="E39" s="20" t="s">
        <v>104</v>
      </c>
      <c r="F39" s="1">
        <v>1068442748</v>
      </c>
      <c r="G39" s="1">
        <v>5</v>
      </c>
      <c r="H39" s="1">
        <v>1</v>
      </c>
      <c r="I39" s="1">
        <v>2</v>
      </c>
      <c r="J39" s="1">
        <v>1</v>
      </c>
      <c r="K39" s="1">
        <v>1</v>
      </c>
      <c r="L39" s="1">
        <v>1</v>
      </c>
      <c r="M39" s="1">
        <v>1</v>
      </c>
      <c r="N39" s="19">
        <f>IFERROR(AVERAGE('NIVEL 1'!G39:M39),"-")</f>
        <v>1.7142857142857142</v>
      </c>
      <c r="O39" s="18" t="str" cm="1">
        <f t="array" ref="O39">_xlfn.IFS(NIVEL_1[[#This Row],[Pase de Nivel 4,7 ptos]]="-","-",NIVEL_1[[#This Row],[Pase de Nivel 4,7 ptos]]&gt;=4.7,"CAMBIA A NIVEL 2",NIVEL_1[[#This Row],[Pase de Nivel 4,7 ptos]]&lt;=4.7,"-")</f>
        <v>-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46111</v>
      </c>
      <c r="E40" s="20" t="s">
        <v>77</v>
      </c>
      <c r="F40" s="1">
        <v>1068443767</v>
      </c>
      <c r="G40" s="1">
        <v>5</v>
      </c>
      <c r="H40" s="1">
        <v>3</v>
      </c>
      <c r="I40" s="1">
        <v>2</v>
      </c>
      <c r="J40" s="1">
        <v>2</v>
      </c>
      <c r="K40" s="1">
        <v>2</v>
      </c>
      <c r="L40" s="1">
        <v>2</v>
      </c>
      <c r="M40" s="1">
        <v>5</v>
      </c>
      <c r="N40" s="19">
        <f>IFERROR(AVERAGE('NIVEL 1'!G40:M40),"-")</f>
        <v>3</v>
      </c>
      <c r="O40" s="18" t="str" cm="1">
        <f t="array" ref="O40">_xlfn.IFS(NIVEL_1[[#This Row],[Pase de Nivel 4,7 ptos]]="-","-",NIVEL_1[[#This Row],[Pase de Nivel 4,7 ptos]]&gt;=4.7,"CAMBIA A NIVEL 2",NIVEL_1[[#This Row],[Pase de Nivel 4,7 ptos]]&lt;=4.7,"-")</f>
        <v>-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46111</v>
      </c>
      <c r="E41" s="20" t="s">
        <v>63</v>
      </c>
      <c r="F41" s="1">
        <v>1073824962</v>
      </c>
      <c r="G41" s="1">
        <v>5</v>
      </c>
      <c r="H41" s="1">
        <v>5</v>
      </c>
      <c r="I41" s="1">
        <v>5</v>
      </c>
      <c r="J41" s="1">
        <v>4</v>
      </c>
      <c r="K41" s="1">
        <v>5</v>
      </c>
      <c r="L41" s="1">
        <v>4</v>
      </c>
      <c r="M41" s="1">
        <v>5</v>
      </c>
      <c r="N41" s="19">
        <f>IFERROR(AVERAGE('NIVEL 1'!G41:M41),"-")</f>
        <v>4.7142857142857144</v>
      </c>
      <c r="O41" s="18" t="str" cm="1">
        <f t="array" ref="O41">_xlfn.IFS(NIVEL_1[[#This Row],[Pase de Nivel 4,7 ptos]]="-","-",NIVEL_1[[#This Row],[Pase de Nivel 4,7 ptos]]&gt;=4.7,"CAMBIA A NIVEL 2",NIVEL_1[[#This Row],[Pase de Nivel 4,7 ptos]]&lt;=4.7,"-")</f>
        <v>CAMBIA A NIVEL 2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46111</v>
      </c>
      <c r="E42" s="20" t="s">
        <v>76</v>
      </c>
      <c r="F42" s="1">
        <v>1126253349</v>
      </c>
      <c r="G42" s="1">
        <v>5</v>
      </c>
      <c r="H42" s="1">
        <v>5</v>
      </c>
      <c r="I42" s="1">
        <v>4</v>
      </c>
      <c r="J42" s="1">
        <v>4</v>
      </c>
      <c r="K42" s="1">
        <v>4</v>
      </c>
      <c r="L42" s="1">
        <v>5</v>
      </c>
      <c r="M42" s="1">
        <v>5</v>
      </c>
      <c r="N42" s="19">
        <f>IFERROR(AVERAGE('NIVEL 1'!G42:M42),"-")</f>
        <v>4.5714285714285712</v>
      </c>
      <c r="O42" s="18" t="str" cm="1">
        <f t="array" ref="O42">_xlfn.IFS(NIVEL_1[[#This Row],[Pase de Nivel 4,7 ptos]]="-","-",NIVEL_1[[#This Row],[Pase de Nivel 4,7 ptos]]&gt;=4.7,"CAMBIA A NIVEL 2",NIVEL_1[[#This Row],[Pase de Nivel 4,7 ptos]]&lt;=4.7,"-")</f>
        <v>-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46111</v>
      </c>
      <c r="E43" s="20" t="s">
        <v>103</v>
      </c>
      <c r="F43" s="1">
        <v>1137975856</v>
      </c>
      <c r="G43" s="1">
        <v>5</v>
      </c>
      <c r="H43" s="1">
        <v>5</v>
      </c>
      <c r="I43" s="1">
        <v>5</v>
      </c>
      <c r="J43" s="1">
        <v>4</v>
      </c>
      <c r="K43" s="1">
        <v>4</v>
      </c>
      <c r="L43" s="1">
        <v>4</v>
      </c>
      <c r="M43" s="1">
        <v>5</v>
      </c>
      <c r="N43" s="19">
        <f>IFERROR(AVERAGE('NIVEL 1'!G43:M43),"-")</f>
        <v>4.5714285714285712</v>
      </c>
      <c r="O43" s="18" t="str" cm="1">
        <f t="array" ref="O43">_xlfn.IFS(NIVEL_1[[#This Row],[Pase de Nivel 4,7 ptos]]="-","-",NIVEL_1[[#This Row],[Pase de Nivel 4,7 ptos]]&gt;=4.7,"CAMBIA A NIVEL 2",NIVEL_1[[#This Row],[Pase de Nivel 4,7 ptos]]&lt;=4.7,"-")</f>
        <v>-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46111</v>
      </c>
      <c r="E44" s="20" t="s">
        <v>102</v>
      </c>
      <c r="F44" s="1">
        <v>1138030749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IFERROR(AVERAGE('NIVEL 1'!G44:M44),"-")</f>
        <v>4.4285714285714288</v>
      </c>
      <c r="O44" s="18" t="str" cm="1">
        <f t="array" ref="O44">_xlfn.IFS(NIVEL_1[[#This Row],[Pase de Nivel 4,7 ptos]]="-","-",NIVEL_1[[#This Row],[Pase de Nivel 4,7 ptos]]&gt;=4.7,"CAMBIA A NIVEL 2",NIVEL_1[[#This Row],[Pase de Nivel 4,7 ptos]]&lt;=4.7,"-")</f>
        <v>-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46111</v>
      </c>
      <c r="E45" s="20" t="s">
        <v>107</v>
      </c>
      <c r="F45" s="1">
        <v>1138031920</v>
      </c>
      <c r="G45" s="1">
        <v>5</v>
      </c>
      <c r="H45" s="1">
        <v>5</v>
      </c>
      <c r="I45" s="1">
        <v>5</v>
      </c>
      <c r="J45" s="1">
        <v>4</v>
      </c>
      <c r="K45" s="1">
        <v>5</v>
      </c>
      <c r="L45" s="1">
        <v>4</v>
      </c>
      <c r="M45" s="1">
        <v>5</v>
      </c>
      <c r="N45" s="19">
        <f>IFERROR(AVERAGE('NIVEL 1'!G45:M45),"-")</f>
        <v>4.7142857142857144</v>
      </c>
      <c r="O45" s="18" t="str" cm="1">
        <f t="array" ref="O45">_xlfn.IFS(NIVEL_1[[#This Row],[Pase de Nivel 4,7 ptos]]="-","-",NIVEL_1[[#This Row],[Pase de Nivel 4,7 ptos]]&gt;=4.7,"CAMBIA A NIVEL 2",NIVEL_1[[#This Row],[Pase de Nivel 4,7 ptos]]&lt;=4.7,"-")</f>
        <v>CAMBIA A NIVEL 2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46111</v>
      </c>
      <c r="E46" s="20" t="s">
        <v>108</v>
      </c>
      <c r="F46" s="1">
        <v>1233348383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4</v>
      </c>
      <c r="N46" s="19">
        <f>IFERROR(AVERAGE('NIVEL 1'!G46:M46),"-")</f>
        <v>2.7142857142857144</v>
      </c>
      <c r="O46" s="18" t="str" cm="1">
        <f t="array" ref="O46">_xlfn.IFS(NIVEL_1[[#This Row],[Pase de Nivel 4,7 ptos]]="-","-",NIVEL_1[[#This Row],[Pase de Nivel 4,7 ptos]]&gt;=4.7,"CAMBIA A NIVEL 2",NIVEL_1[[#This Row],[Pase de Nivel 4,7 ptos]]&lt;=4.7,"-")</f>
        <v>-</v>
      </c>
    </row>
    <row r="47" spans="1:15" x14ac:dyDescent="0.3">
      <c r="A47" s="29">
        <f>MONTH(NIVEL_1[[#This Row],[Fecha de Evaluación]])</f>
        <v>4</v>
      </c>
      <c r="B47" s="12" t="str">
        <f>IF(NIVEL_1[[#This Row],['#]]&gt;0,"NIVEL 1","")</f>
        <v>NIVEL 1</v>
      </c>
      <c r="C47" s="12" t="str">
        <f>TEXT(NIVEL_1[[#This Row],[Fecha de Evaluación]],"MMMM")</f>
        <v>abril</v>
      </c>
      <c r="D47" s="3">
        <v>46142</v>
      </c>
      <c r="E47" s="20" t="s">
        <v>119</v>
      </c>
      <c r="F47" s="1">
        <v>8203609</v>
      </c>
      <c r="G47" s="1">
        <v>5</v>
      </c>
      <c r="H47" s="1">
        <v>5</v>
      </c>
      <c r="I47" s="1">
        <v>5</v>
      </c>
      <c r="J47" s="1">
        <v>5</v>
      </c>
      <c r="K47" s="1">
        <v>5</v>
      </c>
      <c r="L47" s="1">
        <v>5</v>
      </c>
      <c r="M47" s="1">
        <v>5</v>
      </c>
      <c r="N47" s="19">
        <f>IFERROR(AVERAGE('NIVEL 1'!G47:M47),"-")</f>
        <v>5</v>
      </c>
      <c r="O47" s="18" t="str" cm="1">
        <f t="array" ref="O47">_xlfn.IFS(NIVEL_1[[#This Row],[Pase de Nivel 4,7 ptos]]="-","-",NIVEL_1[[#This Row],[Pase de Nivel 4,7 ptos]]&gt;=4.7,"CAMBIA A NIVEL 2",NIVEL_1[[#This Row],[Pase de Nivel 4,7 ptos]]&lt;=4.7,"-")</f>
        <v>CAMBIA A NIVEL 2</v>
      </c>
    </row>
    <row r="48" spans="1:15" x14ac:dyDescent="0.3">
      <c r="A48" s="29">
        <f>MONTH(NIVEL_1[[#This Row],[Fecha de Evaluación]])</f>
        <v>4</v>
      </c>
      <c r="B48" s="12" t="str">
        <f>IF(NIVEL_1[[#This Row],['#]]&gt;0,"NIVEL 1","")</f>
        <v>NIVEL 1</v>
      </c>
      <c r="C48" s="12" t="str">
        <f>TEXT(NIVEL_1[[#This Row],[Fecha de Evaluación]],"MMMM")</f>
        <v>abril</v>
      </c>
      <c r="D48" s="3">
        <v>46142</v>
      </c>
      <c r="E48" s="20" t="s">
        <v>124</v>
      </c>
      <c r="F48" s="1">
        <v>10784668</v>
      </c>
      <c r="G48" s="1">
        <v>5</v>
      </c>
      <c r="H48" s="1">
        <v>5</v>
      </c>
      <c r="I48" s="1">
        <v>4</v>
      </c>
      <c r="J48" s="1">
        <v>3</v>
      </c>
      <c r="K48" s="1">
        <v>3</v>
      </c>
      <c r="L48" s="1">
        <v>3</v>
      </c>
      <c r="M48" s="1">
        <v>5</v>
      </c>
      <c r="N48" s="19">
        <f>IFERROR(AVERAGE('NIVEL 1'!G48:M48),"-")</f>
        <v>4</v>
      </c>
      <c r="O48" s="18" t="str" cm="1">
        <f t="array" ref="O48">_xlfn.IFS(NIVEL_1[[#This Row],[Pase de Nivel 4,7 ptos]]="-","-",NIVEL_1[[#This Row],[Pase de Nivel 4,7 ptos]]&gt;=4.7,"CAMBIA A NIVEL 2",NIVEL_1[[#This Row],[Pase de Nivel 4,7 ptos]]&lt;=4.7,"-")</f>
        <v>-</v>
      </c>
    </row>
    <row r="49" spans="1:15" x14ac:dyDescent="0.3">
      <c r="A49" s="29">
        <f>MONTH(NIVEL_1[[#This Row],[Fecha de Evaluación]])</f>
        <v>4</v>
      </c>
      <c r="B49" s="12" t="str">
        <f>IF(NIVEL_1[[#This Row],['#]]&gt;0,"NIVEL 1","")</f>
        <v>NIVEL 1</v>
      </c>
      <c r="C49" s="12" t="str">
        <f>TEXT(NIVEL_1[[#This Row],[Fecha de Evaluación]],"MMMM")</f>
        <v>abril</v>
      </c>
      <c r="D49" s="3">
        <v>46142</v>
      </c>
      <c r="E49" s="20" t="s">
        <v>130</v>
      </c>
      <c r="F49" s="1">
        <v>34882674</v>
      </c>
      <c r="G49" s="1">
        <v>5</v>
      </c>
      <c r="H49" s="1">
        <v>2</v>
      </c>
      <c r="I49" s="1">
        <v>2</v>
      </c>
      <c r="J49" s="1">
        <v>2</v>
      </c>
      <c r="K49" s="1">
        <v>2</v>
      </c>
      <c r="L49" s="1">
        <v>2</v>
      </c>
      <c r="M49" s="1">
        <v>1</v>
      </c>
      <c r="N49" s="19">
        <f>IFERROR(AVERAGE('NIVEL 1'!G49:M49),"-")</f>
        <v>2.2857142857142856</v>
      </c>
      <c r="O49" s="18" t="str" cm="1">
        <f t="array" ref="O49">_xlfn.IFS(NIVEL_1[[#This Row],[Pase de Nivel 4,7 ptos]]="-","-",NIVEL_1[[#This Row],[Pase de Nivel 4,7 ptos]]&gt;=4.7,"CAMBIA A NIVEL 2",NIVEL_1[[#This Row],[Pase de Nivel 4,7 ptos]]&lt;=4.7,"-")</f>
        <v>-</v>
      </c>
    </row>
    <row r="50" spans="1:15" x14ac:dyDescent="0.3">
      <c r="A50" s="29">
        <f>MONTH(NIVEL_1[[#This Row],[Fecha de Evaluación]])</f>
        <v>4</v>
      </c>
      <c r="B50" s="12" t="str">
        <f>IF(NIVEL_1[[#This Row],['#]]&gt;0,"NIVEL 1","")</f>
        <v>NIVEL 1</v>
      </c>
      <c r="C50" s="12" t="str">
        <f>TEXT(NIVEL_1[[#This Row],[Fecha de Evaluación]],"MMMM")</f>
        <v>abril</v>
      </c>
      <c r="D50" s="3">
        <v>46142</v>
      </c>
      <c r="E50" s="20" t="s">
        <v>132</v>
      </c>
      <c r="F50" s="1">
        <v>50906315</v>
      </c>
      <c r="G50" s="1">
        <v>5</v>
      </c>
      <c r="H50" s="1">
        <v>2</v>
      </c>
      <c r="I50" s="1">
        <v>2</v>
      </c>
      <c r="J50" s="1">
        <v>1</v>
      </c>
      <c r="K50" s="1">
        <v>1</v>
      </c>
      <c r="L50" s="1">
        <v>1</v>
      </c>
      <c r="M50" s="1">
        <v>1</v>
      </c>
      <c r="N50" s="19">
        <f>IFERROR(AVERAGE('NIVEL 1'!G50:M50),"-")</f>
        <v>1.8571428571428572</v>
      </c>
      <c r="O50" s="18" t="str" cm="1">
        <f t="array" ref="O50">_xlfn.IFS(NIVEL_1[[#This Row],[Pase de Nivel 4,7 ptos]]="-","-",NIVEL_1[[#This Row],[Pase de Nivel 4,7 ptos]]&gt;=4.7,"CAMBIA A NIVEL 2",NIVEL_1[[#This Row],[Pase de Nivel 4,7 ptos]]&lt;=4.7,"-")</f>
        <v>-</v>
      </c>
    </row>
    <row r="51" spans="1:15" x14ac:dyDescent="0.3">
      <c r="A51" s="29">
        <f>MONTH(NIVEL_1[[#This Row],[Fecha de Evaluación]])</f>
        <v>4</v>
      </c>
      <c r="B51" s="12" t="str">
        <f>IF(NIVEL_1[[#This Row],['#]]&gt;0,"NIVEL 1","")</f>
        <v>NIVEL 1</v>
      </c>
      <c r="C51" s="12" t="str">
        <f>TEXT(NIVEL_1[[#This Row],[Fecha de Evaluación]],"MMMM")</f>
        <v>abril</v>
      </c>
      <c r="D51" s="3">
        <v>46142</v>
      </c>
      <c r="E51" s="20" t="s">
        <v>131</v>
      </c>
      <c r="F51" s="1">
        <v>78713979</v>
      </c>
      <c r="G51" s="1">
        <v>5</v>
      </c>
      <c r="H51" s="1">
        <v>3</v>
      </c>
      <c r="I51" s="1">
        <v>3</v>
      </c>
      <c r="J51" s="1">
        <v>3</v>
      </c>
      <c r="K51" s="1">
        <v>1</v>
      </c>
      <c r="L51" s="1">
        <v>1</v>
      </c>
      <c r="M51" s="1">
        <v>1</v>
      </c>
      <c r="N51" s="19">
        <f>IFERROR(AVERAGE('NIVEL 1'!G51:M51),"-")</f>
        <v>2.4285714285714284</v>
      </c>
      <c r="O51" s="18" t="str" cm="1">
        <f t="array" ref="O51">_xlfn.IFS(NIVEL_1[[#This Row],[Pase de Nivel 4,7 ptos]]="-","-",NIVEL_1[[#This Row],[Pase de Nivel 4,7 ptos]]&gt;=4.7,"CAMBIA A NIVEL 2",NIVEL_1[[#This Row],[Pase de Nivel 4,7 ptos]]&lt;=4.7,"-")</f>
        <v>-</v>
      </c>
    </row>
    <row r="52" spans="1:15" x14ac:dyDescent="0.3">
      <c r="A52" s="29">
        <f>MONTH(NIVEL_1[[#This Row],[Fecha de Evaluación]])</f>
        <v>4</v>
      </c>
      <c r="B52" s="12" t="str">
        <f>IF(NIVEL_1[[#This Row],['#]]&gt;0,"NIVEL 1","")</f>
        <v>NIVEL 1</v>
      </c>
      <c r="C52" s="12" t="str">
        <f>TEXT(NIVEL_1[[#This Row],[Fecha de Evaluación]],"MMMM")</f>
        <v>abril</v>
      </c>
      <c r="D52" s="3">
        <v>46142</v>
      </c>
      <c r="E52" s="20" t="s">
        <v>110</v>
      </c>
      <c r="F52" s="1">
        <v>1003027198</v>
      </c>
      <c r="G52" s="1">
        <v>5</v>
      </c>
      <c r="H52" s="1">
        <v>5</v>
      </c>
      <c r="I52" s="1">
        <v>5</v>
      </c>
      <c r="J52" s="1">
        <v>5</v>
      </c>
      <c r="K52" s="1">
        <v>5</v>
      </c>
      <c r="L52" s="1">
        <v>5</v>
      </c>
      <c r="M52" s="1">
        <v>5</v>
      </c>
      <c r="N52" s="19">
        <f>IFERROR(AVERAGE('NIVEL 1'!G52:M52),"-")</f>
        <v>5</v>
      </c>
      <c r="O52" s="18" t="str" cm="1">
        <f t="array" ref="O52">_xlfn.IFS(NIVEL_1[[#This Row],[Pase de Nivel 4,7 ptos]]="-","-",NIVEL_1[[#This Row],[Pase de Nivel 4,7 ptos]]&gt;=4.7,"CAMBIA A NIVEL 2",NIVEL_1[[#This Row],[Pase de Nivel 4,7 ptos]]&lt;=4.7,"-")</f>
        <v>CAMBIA A NIVEL 2</v>
      </c>
    </row>
    <row r="53" spans="1:15" x14ac:dyDescent="0.3">
      <c r="A53" s="29">
        <f>MONTH(NIVEL_1[[#This Row],[Fecha de Evaluación]])</f>
        <v>4</v>
      </c>
      <c r="B53" s="12" t="str">
        <f>IF(NIVEL_1[[#This Row],['#]]&gt;0,"NIVEL 1","")</f>
        <v>NIVEL 1</v>
      </c>
      <c r="C53" s="12" t="str">
        <f>TEXT(NIVEL_1[[#This Row],[Fecha de Evaluación]],"MMMM")</f>
        <v>abril</v>
      </c>
      <c r="D53" s="3">
        <v>46142</v>
      </c>
      <c r="E53" s="20" t="s">
        <v>123</v>
      </c>
      <c r="F53" s="1">
        <v>1003405136</v>
      </c>
      <c r="G53" s="1">
        <v>5</v>
      </c>
      <c r="H53" s="1">
        <v>4</v>
      </c>
      <c r="I53" s="1">
        <v>4</v>
      </c>
      <c r="J53" s="1">
        <v>3</v>
      </c>
      <c r="K53" s="1">
        <v>3</v>
      </c>
      <c r="L53" s="1">
        <v>2</v>
      </c>
      <c r="M53" s="1">
        <v>3</v>
      </c>
      <c r="N53" s="19">
        <f>IFERROR(AVERAGE('NIVEL 1'!G53:M53),"-")</f>
        <v>3.4285714285714284</v>
      </c>
      <c r="O53" s="18" t="str" cm="1">
        <f t="array" ref="O53">_xlfn.IFS(NIVEL_1[[#This Row],[Pase de Nivel 4,7 ptos]]="-","-",NIVEL_1[[#This Row],[Pase de Nivel 4,7 ptos]]&gt;=4.7,"CAMBIA A NIVEL 2",NIVEL_1[[#This Row],[Pase de Nivel 4,7 ptos]]&lt;=4.7,"-")</f>
        <v>-</v>
      </c>
    </row>
    <row r="54" spans="1:15" x14ac:dyDescent="0.3">
      <c r="A54" s="29">
        <f>MONTH(NIVEL_1[[#This Row],[Fecha de Evaluación]])</f>
        <v>4</v>
      </c>
      <c r="B54" s="12" t="str">
        <f>IF(NIVEL_1[[#This Row],['#]]&gt;0,"NIVEL 1","")</f>
        <v>NIVEL 1</v>
      </c>
      <c r="C54" s="12" t="str">
        <f>TEXT(NIVEL_1[[#This Row],[Fecha de Evaluación]],"MMMM")</f>
        <v>abril</v>
      </c>
      <c r="D54" s="3">
        <v>46142</v>
      </c>
      <c r="E54" s="20" t="s">
        <v>118</v>
      </c>
      <c r="F54" s="1">
        <v>1003435656</v>
      </c>
      <c r="G54" s="1">
        <v>5</v>
      </c>
      <c r="H54" s="1">
        <v>5</v>
      </c>
      <c r="I54" s="1">
        <v>5</v>
      </c>
      <c r="J54" s="1">
        <v>5</v>
      </c>
      <c r="K54" s="1">
        <v>5</v>
      </c>
      <c r="L54" s="1">
        <v>5</v>
      </c>
      <c r="M54" s="1">
        <v>5</v>
      </c>
      <c r="N54" s="19">
        <f>IFERROR(AVERAGE('NIVEL 1'!G54:M54),"-")</f>
        <v>5</v>
      </c>
      <c r="O54" s="18" t="str" cm="1">
        <f t="array" ref="O54">_xlfn.IFS(NIVEL_1[[#This Row],[Pase de Nivel 4,7 ptos]]="-","-",NIVEL_1[[#This Row],[Pase de Nivel 4,7 ptos]]&gt;=4.7,"CAMBIA A NIVEL 2",NIVEL_1[[#This Row],[Pase de Nivel 4,7 ptos]]&lt;=4.7,"-")</f>
        <v>CAMBIA A NIVEL 2</v>
      </c>
    </row>
    <row r="55" spans="1:15" x14ac:dyDescent="0.3">
      <c r="A55" s="29">
        <f>MONTH(NIVEL_1[[#This Row],[Fecha de Evaluación]])</f>
        <v>4</v>
      </c>
      <c r="B55" s="12" t="str">
        <f>IF(NIVEL_1[[#This Row],['#]]&gt;0,"NIVEL 1","")</f>
        <v>NIVEL 1</v>
      </c>
      <c r="C55" s="12" t="str">
        <f>TEXT(NIVEL_1[[#This Row],[Fecha de Evaluación]],"MMMM")</f>
        <v>abril</v>
      </c>
      <c r="D55" s="3">
        <v>46142</v>
      </c>
      <c r="E55" s="20" t="s">
        <v>128</v>
      </c>
      <c r="F55" s="1">
        <v>1003561480</v>
      </c>
      <c r="G55" s="1">
        <v>5</v>
      </c>
      <c r="H55" s="1">
        <v>1</v>
      </c>
      <c r="I55" s="1">
        <v>2</v>
      </c>
      <c r="J55" s="1">
        <v>1</v>
      </c>
      <c r="K55" s="1">
        <v>1</v>
      </c>
      <c r="L55" s="1">
        <v>1</v>
      </c>
      <c r="M55" s="1">
        <v>2</v>
      </c>
      <c r="N55" s="19">
        <f>IFERROR(AVERAGE('NIVEL 1'!G55:M55),"-")</f>
        <v>1.8571428571428572</v>
      </c>
      <c r="O55" s="18" t="str" cm="1">
        <f t="array" ref="O55">_xlfn.IFS(NIVEL_1[[#This Row],[Pase de Nivel 4,7 ptos]]="-","-",NIVEL_1[[#This Row],[Pase de Nivel 4,7 ptos]]&gt;=4.7,"CAMBIA A NIVEL 2",NIVEL_1[[#This Row],[Pase de Nivel 4,7 ptos]]&lt;=4.7,"-")</f>
        <v>-</v>
      </c>
    </row>
    <row r="56" spans="1:15" x14ac:dyDescent="0.3">
      <c r="A56" s="29">
        <f>MONTH(NIVEL_1[[#This Row],[Fecha de Evaluación]])</f>
        <v>4</v>
      </c>
      <c r="B56" s="12" t="str">
        <f>IF(NIVEL_1[[#This Row],['#]]&gt;0,"NIVEL 1","")</f>
        <v>NIVEL 1</v>
      </c>
      <c r="C56" s="12" t="str">
        <f>TEXT(NIVEL_1[[#This Row],[Fecha de Evaluación]],"MMMM")</f>
        <v>abril</v>
      </c>
      <c r="D56" s="3">
        <v>46142</v>
      </c>
      <c r="E56" s="20" t="s">
        <v>129</v>
      </c>
      <c r="F56" s="1">
        <v>1025564047</v>
      </c>
      <c r="G56" s="1">
        <v>5</v>
      </c>
      <c r="H56" s="1">
        <v>5</v>
      </c>
      <c r="I56" s="1">
        <v>2</v>
      </c>
      <c r="J56" s="1">
        <v>2</v>
      </c>
      <c r="K56" s="1">
        <v>2</v>
      </c>
      <c r="L56" s="1">
        <v>2</v>
      </c>
      <c r="M56" s="1">
        <v>5</v>
      </c>
      <c r="N56" s="19">
        <f>IFERROR(AVERAGE('NIVEL 1'!G56:M56),"-")</f>
        <v>3.2857142857142856</v>
      </c>
      <c r="O56" s="18" t="str" cm="1">
        <f t="array" ref="O56">_xlfn.IFS(NIVEL_1[[#This Row],[Pase de Nivel 4,7 ptos]]="-","-",NIVEL_1[[#This Row],[Pase de Nivel 4,7 ptos]]&gt;=4.7,"CAMBIA A NIVEL 2",NIVEL_1[[#This Row],[Pase de Nivel 4,7 ptos]]&lt;=4.7,"-")</f>
        <v>-</v>
      </c>
    </row>
    <row r="57" spans="1:15" x14ac:dyDescent="0.3">
      <c r="A57" s="29">
        <f>MONTH(NIVEL_1[[#This Row],[Fecha de Evaluación]])</f>
        <v>4</v>
      </c>
      <c r="B57" s="12" t="str">
        <f>IF(NIVEL_1[[#This Row],['#]]&gt;0,"NIVEL 1","")</f>
        <v>NIVEL 1</v>
      </c>
      <c r="C57" s="12" t="str">
        <f>TEXT(NIVEL_1[[#This Row],[Fecha de Evaluación]],"MMMM")</f>
        <v>abril</v>
      </c>
      <c r="D57" s="3">
        <v>46142</v>
      </c>
      <c r="E57" s="20" t="s">
        <v>126</v>
      </c>
      <c r="F57" s="1">
        <v>1033205387</v>
      </c>
      <c r="G57" s="1">
        <v>4</v>
      </c>
      <c r="H57" s="1">
        <v>2</v>
      </c>
      <c r="I57" s="1">
        <v>1</v>
      </c>
      <c r="J57" s="1">
        <v>1</v>
      </c>
      <c r="K57" s="1">
        <v>1</v>
      </c>
      <c r="L57" s="1">
        <v>1</v>
      </c>
      <c r="M57" s="1">
        <v>3</v>
      </c>
      <c r="N57" s="19">
        <f>IFERROR(AVERAGE('NIVEL 1'!G57:M57),"-")</f>
        <v>1.8571428571428572</v>
      </c>
      <c r="O57" s="18" t="str" cm="1">
        <f t="array" ref="O57">_xlfn.IFS(NIVEL_1[[#This Row],[Pase de Nivel 4,7 ptos]]="-","-",NIVEL_1[[#This Row],[Pase de Nivel 4,7 ptos]]&gt;=4.7,"CAMBIA A NIVEL 2",NIVEL_1[[#This Row],[Pase de Nivel 4,7 ptos]]&lt;=4.7,"-")</f>
        <v>-</v>
      </c>
    </row>
    <row r="58" spans="1:15" x14ac:dyDescent="0.3">
      <c r="A58" s="29">
        <f>MONTH(NIVEL_1[[#This Row],[Fecha de Evaluación]])</f>
        <v>4</v>
      </c>
      <c r="B58" s="12" t="str">
        <f>IF(NIVEL_1[[#This Row],['#]]&gt;0,"NIVEL 1","")</f>
        <v>NIVEL 1</v>
      </c>
      <c r="C58" s="12" t="str">
        <f>TEXT(NIVEL_1[[#This Row],[Fecha de Evaluación]],"MMMM")</f>
        <v>abril</v>
      </c>
      <c r="D58" s="3">
        <v>46142</v>
      </c>
      <c r="E58" s="20" t="s">
        <v>64</v>
      </c>
      <c r="F58" s="1">
        <v>1035017030</v>
      </c>
      <c r="G58" s="1">
        <v>5</v>
      </c>
      <c r="H58" s="1">
        <v>5</v>
      </c>
      <c r="I58" s="1">
        <v>5</v>
      </c>
      <c r="J58" s="1">
        <v>3</v>
      </c>
      <c r="K58" s="1">
        <v>5</v>
      </c>
      <c r="L58" s="1">
        <v>3</v>
      </c>
      <c r="M58" s="1">
        <v>5</v>
      </c>
      <c r="N58" s="19">
        <f>IFERROR(AVERAGE('NIVEL 1'!G58:M58),"-")</f>
        <v>4.4285714285714288</v>
      </c>
      <c r="O58" s="18" t="str" cm="1">
        <f t="array" ref="O58">_xlfn.IFS(NIVEL_1[[#This Row],[Pase de Nivel 4,7 ptos]]="-","-",NIVEL_1[[#This Row],[Pase de Nivel 4,7 ptos]]&gt;=4.7,"CAMBIA A NIVEL 2",NIVEL_1[[#This Row],[Pase de Nivel 4,7 ptos]]&lt;=4.7,"-")</f>
        <v>-</v>
      </c>
    </row>
    <row r="59" spans="1:15" x14ac:dyDescent="0.3">
      <c r="A59" s="29">
        <f>MONTH(NIVEL_1[[#This Row],[Fecha de Evaluación]])</f>
        <v>4</v>
      </c>
      <c r="B59" s="12" t="str">
        <f>IF(NIVEL_1[[#This Row],['#]]&gt;0,"NIVEL 1","")</f>
        <v>NIVEL 1</v>
      </c>
      <c r="C59" s="12" t="str">
        <f>TEXT(NIVEL_1[[#This Row],[Fecha de Evaluación]],"MMMM")</f>
        <v>abril</v>
      </c>
      <c r="D59" s="3">
        <v>46142</v>
      </c>
      <c r="E59" s="20" t="s">
        <v>122</v>
      </c>
      <c r="F59" s="1">
        <v>1037236492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4</v>
      </c>
      <c r="N59" s="19">
        <f>IFERROR(AVERAGE('NIVEL 1'!G59:M59),"-")</f>
        <v>3.7142857142857144</v>
      </c>
      <c r="O59" s="18" t="str" cm="1">
        <f t="array" ref="O59">_xlfn.IFS(NIVEL_1[[#This Row],[Pase de Nivel 4,7 ptos]]="-","-",NIVEL_1[[#This Row],[Pase de Nivel 4,7 ptos]]&gt;=4.7,"CAMBIA A NIVEL 2",NIVEL_1[[#This Row],[Pase de Nivel 4,7 ptos]]&lt;=4.7,"-")</f>
        <v>-</v>
      </c>
    </row>
    <row r="60" spans="1:15" x14ac:dyDescent="0.3">
      <c r="A60" s="29">
        <f>MONTH(NIVEL_1[[#This Row],[Fecha de Evaluación]])</f>
        <v>4</v>
      </c>
      <c r="B60" s="12" t="str">
        <f>IF(NIVEL_1[[#This Row],['#]]&gt;0,"NIVEL 1","")</f>
        <v>NIVEL 1</v>
      </c>
      <c r="C60" s="12" t="str">
        <f>TEXT(NIVEL_1[[#This Row],[Fecha de Evaluación]],"MMMM")</f>
        <v>abril</v>
      </c>
      <c r="D60" s="3">
        <v>46142</v>
      </c>
      <c r="E60" s="20" t="s">
        <v>127</v>
      </c>
      <c r="F60" s="1">
        <v>1062438398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4</v>
      </c>
      <c r="M60" s="1">
        <v>5</v>
      </c>
      <c r="N60" s="19">
        <f>IFERROR(AVERAGE('NIVEL 1'!G60:M60),"-")</f>
        <v>4.4285714285714288</v>
      </c>
      <c r="O60" s="18" t="str" cm="1">
        <f t="array" ref="O60">_xlfn.IFS(NIVEL_1[[#This Row],[Pase de Nivel 4,7 ptos]]="-","-",NIVEL_1[[#This Row],[Pase de Nivel 4,7 ptos]]&gt;=4.7,"CAMBIA A NIVEL 2",NIVEL_1[[#This Row],[Pase de Nivel 4,7 ptos]]&lt;=4.7,"-")</f>
        <v>-</v>
      </c>
    </row>
    <row r="61" spans="1:15" x14ac:dyDescent="0.3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46142</v>
      </c>
      <c r="E61" s="20" t="s">
        <v>79</v>
      </c>
      <c r="F61" s="1">
        <v>1062540875</v>
      </c>
      <c r="G61" s="1">
        <v>5</v>
      </c>
      <c r="H61" s="1">
        <v>5</v>
      </c>
      <c r="I61" s="1">
        <v>4</v>
      </c>
      <c r="J61" s="1">
        <v>3</v>
      </c>
      <c r="K61" s="1">
        <v>4</v>
      </c>
      <c r="L61" s="1">
        <v>2</v>
      </c>
      <c r="M61" s="1">
        <v>5</v>
      </c>
      <c r="N61" s="19">
        <f>IFERROR(AVERAGE('NIVEL 1'!G61:M61),"-")</f>
        <v>4</v>
      </c>
      <c r="O61" s="18" t="str" cm="1">
        <f t="array" ref="O61">_xlfn.IFS(NIVEL_1[[#This Row],[Pase de Nivel 4,7 ptos]]="-","-",NIVEL_1[[#This Row],[Pase de Nivel 4,7 ptos]]&gt;=4.7,"CAMBIA A NIVEL 2",NIVEL_1[[#This Row],[Pase de Nivel 4,7 ptos]]&lt;=4.7,"-")</f>
        <v>-</v>
      </c>
    </row>
    <row r="62" spans="1:15" x14ac:dyDescent="0.3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46142</v>
      </c>
      <c r="E62" s="20" t="s">
        <v>99</v>
      </c>
      <c r="F62" s="1">
        <v>1062544508</v>
      </c>
      <c r="G62" s="1">
        <v>5</v>
      </c>
      <c r="H62" s="1">
        <v>5</v>
      </c>
      <c r="I62" s="1">
        <v>5</v>
      </c>
      <c r="J62" s="1">
        <v>5</v>
      </c>
      <c r="K62" s="1">
        <v>5</v>
      </c>
      <c r="L62" s="1">
        <v>5</v>
      </c>
      <c r="M62" s="1">
        <v>5</v>
      </c>
      <c r="N62" s="19">
        <f>IFERROR(AVERAGE('NIVEL 1'!G62:M62),"-")</f>
        <v>5</v>
      </c>
      <c r="O62" s="18" t="str" cm="1">
        <f t="array" ref="O62">_xlfn.IFS(NIVEL_1[[#This Row],[Pase de Nivel 4,7 ptos]]="-","-",NIVEL_1[[#This Row],[Pase de Nivel 4,7 ptos]]&gt;=4.7,"CAMBIA A NIVEL 2",NIVEL_1[[#This Row],[Pase de Nivel 4,7 ptos]]&lt;=4.7,"-")</f>
        <v>CAMBIA A NIVEL 2</v>
      </c>
    </row>
    <row r="63" spans="1:15" x14ac:dyDescent="0.3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46142</v>
      </c>
      <c r="E63" s="20" t="s">
        <v>70</v>
      </c>
      <c r="F63" s="1">
        <v>1062546526</v>
      </c>
      <c r="G63" s="1">
        <v>5</v>
      </c>
      <c r="H63" s="1">
        <v>5</v>
      </c>
      <c r="I63" s="1">
        <v>4</v>
      </c>
      <c r="J63" s="1">
        <v>3</v>
      </c>
      <c r="K63" s="1">
        <v>2</v>
      </c>
      <c r="L63" s="1">
        <v>2</v>
      </c>
      <c r="M63" s="1">
        <v>5</v>
      </c>
      <c r="N63" s="19">
        <f>IFERROR(AVERAGE('NIVEL 1'!G63:M63),"-")</f>
        <v>3.7142857142857144</v>
      </c>
      <c r="O63" s="18" t="str" cm="1">
        <f t="array" ref="O63">_xlfn.IFS(NIVEL_1[[#This Row],[Pase de Nivel 4,7 ptos]]="-","-",NIVEL_1[[#This Row],[Pase de Nivel 4,7 ptos]]&gt;=4.7,"CAMBIA A NIVEL 2",NIVEL_1[[#This Row],[Pase de Nivel 4,7 ptos]]&lt;=4.7,"-")</f>
        <v>-</v>
      </c>
    </row>
    <row r="64" spans="1:15" x14ac:dyDescent="0.3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46142</v>
      </c>
      <c r="E64" s="20" t="s">
        <v>68</v>
      </c>
      <c r="F64" s="1">
        <v>1062966144</v>
      </c>
      <c r="G64" s="1">
        <v>5</v>
      </c>
      <c r="H64" s="1">
        <v>5</v>
      </c>
      <c r="I64" s="1">
        <v>5</v>
      </c>
      <c r="J64" s="1">
        <v>5</v>
      </c>
      <c r="K64" s="1">
        <v>5</v>
      </c>
      <c r="L64" s="1">
        <v>5</v>
      </c>
      <c r="M64" s="1">
        <v>5</v>
      </c>
      <c r="N64" s="19">
        <f>IFERROR(AVERAGE('NIVEL 1'!G64:M64),"-")</f>
        <v>5</v>
      </c>
      <c r="O64" s="18" t="str" cm="1">
        <f t="array" ref="O64">_xlfn.IFS(NIVEL_1[[#This Row],[Pase de Nivel 4,7 ptos]]="-","-",NIVEL_1[[#This Row],[Pase de Nivel 4,7 ptos]]&gt;=4.7,"CAMBIA A NIVEL 2",NIVEL_1[[#This Row],[Pase de Nivel 4,7 ptos]]&lt;=4.7,"-")</f>
        <v>CAMBIA A NIVEL 2</v>
      </c>
    </row>
    <row r="65" spans="1:15" x14ac:dyDescent="0.3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46142</v>
      </c>
      <c r="E65" s="20" t="s">
        <v>115</v>
      </c>
      <c r="F65" s="1">
        <v>1063077486</v>
      </c>
      <c r="G65" s="1">
        <v>5</v>
      </c>
      <c r="H65" s="1">
        <v>5</v>
      </c>
      <c r="I65" s="1">
        <v>5</v>
      </c>
      <c r="J65" s="1">
        <v>5</v>
      </c>
      <c r="K65" s="1">
        <v>5</v>
      </c>
      <c r="L65" s="1">
        <v>5</v>
      </c>
      <c r="M65" s="1">
        <v>1</v>
      </c>
      <c r="N65" s="19">
        <f>IFERROR(AVERAGE('NIVEL 1'!G65:M65),"-")</f>
        <v>4.4285714285714288</v>
      </c>
      <c r="O65" s="18" t="str" cm="1">
        <f t="array" ref="O65">_xlfn.IFS(NIVEL_1[[#This Row],[Pase de Nivel 4,7 ptos]]="-","-",NIVEL_1[[#This Row],[Pase de Nivel 4,7 ptos]]&gt;=4.7,"CAMBIA A NIVEL 2",NIVEL_1[[#This Row],[Pase de Nivel 4,7 ptos]]&lt;=4.7,"-")</f>
        <v>-</v>
      </c>
    </row>
    <row r="66" spans="1:15" x14ac:dyDescent="0.3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46142</v>
      </c>
      <c r="E66" s="20" t="s">
        <v>120</v>
      </c>
      <c r="F66" s="1">
        <v>1067860876</v>
      </c>
      <c r="G66" s="1">
        <v>5</v>
      </c>
      <c r="H66" s="1">
        <v>5</v>
      </c>
      <c r="I66" s="1">
        <v>4</v>
      </c>
      <c r="J66" s="1">
        <v>4</v>
      </c>
      <c r="K66" s="1">
        <v>4</v>
      </c>
      <c r="L66" s="1">
        <v>4</v>
      </c>
      <c r="M66" s="1">
        <v>5</v>
      </c>
      <c r="N66" s="19">
        <f>IFERROR(AVERAGE('NIVEL 1'!G66:M66),"-")</f>
        <v>4.4285714285714288</v>
      </c>
      <c r="O66" s="18" t="str" cm="1">
        <f t="array" ref="O66">_xlfn.IFS(NIVEL_1[[#This Row],[Pase de Nivel 4,7 ptos]]="-","-",NIVEL_1[[#This Row],[Pase de Nivel 4,7 ptos]]&gt;=4.7,"CAMBIA A NIVEL 2",NIVEL_1[[#This Row],[Pase de Nivel 4,7 ptos]]&lt;=4.7,"-")</f>
        <v>-</v>
      </c>
    </row>
    <row r="67" spans="1:15" x14ac:dyDescent="0.3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46142</v>
      </c>
      <c r="E67" s="20" t="s">
        <v>67</v>
      </c>
      <c r="F67" s="1">
        <v>1067945529</v>
      </c>
      <c r="G67" s="1">
        <v>5</v>
      </c>
      <c r="H67" s="1">
        <v>5</v>
      </c>
      <c r="I67" s="1">
        <v>5</v>
      </c>
      <c r="J67" s="1">
        <v>5</v>
      </c>
      <c r="K67" s="1">
        <v>5</v>
      </c>
      <c r="L67" s="1">
        <v>5</v>
      </c>
      <c r="M67" s="1">
        <v>5</v>
      </c>
      <c r="N67" s="19">
        <f>IFERROR(AVERAGE('NIVEL 1'!G67:M67),"-")</f>
        <v>5</v>
      </c>
      <c r="O67" s="18" t="str" cm="1">
        <f t="array" ref="O67">_xlfn.IFS(NIVEL_1[[#This Row],[Pase de Nivel 4,7 ptos]]="-","-",NIVEL_1[[#This Row],[Pase de Nivel 4,7 ptos]]&gt;=4.7,"CAMBIA A NIVEL 2",NIVEL_1[[#This Row],[Pase de Nivel 4,7 ptos]]&lt;=4.7,"-")</f>
        <v>CAMBIA A NIVEL 2</v>
      </c>
    </row>
    <row r="68" spans="1:15" x14ac:dyDescent="0.3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46142</v>
      </c>
      <c r="E68" s="20" t="s">
        <v>117</v>
      </c>
      <c r="F68" s="1">
        <v>1067958657</v>
      </c>
      <c r="G68" s="1">
        <v>5</v>
      </c>
      <c r="H68" s="1">
        <v>2</v>
      </c>
      <c r="I68" s="1">
        <v>2</v>
      </c>
      <c r="J68" s="1">
        <v>2</v>
      </c>
      <c r="K68" s="1">
        <v>2</v>
      </c>
      <c r="L68" s="1">
        <v>2</v>
      </c>
      <c r="M68" s="1">
        <v>2</v>
      </c>
      <c r="N68" s="19">
        <f>IFERROR(AVERAGE('NIVEL 1'!G68:M68),"-")</f>
        <v>2.4285714285714284</v>
      </c>
      <c r="O68" s="18" t="str" cm="1">
        <f t="array" ref="O68">_xlfn.IFS(NIVEL_1[[#This Row],[Pase de Nivel 4,7 ptos]]="-","-",NIVEL_1[[#This Row],[Pase de Nivel 4,7 ptos]]&gt;=4.7,"CAMBIA A NIVEL 2",NIVEL_1[[#This Row],[Pase de Nivel 4,7 ptos]]&lt;=4.7,"-")</f>
        <v>-</v>
      </c>
    </row>
    <row r="69" spans="1:15" x14ac:dyDescent="0.3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46142</v>
      </c>
      <c r="E69" s="20" t="s">
        <v>101</v>
      </c>
      <c r="F69" s="1">
        <v>1068441879</v>
      </c>
      <c r="G69" s="1">
        <v>5</v>
      </c>
      <c r="H69" s="1">
        <v>4</v>
      </c>
      <c r="I69" s="1">
        <v>3</v>
      </c>
      <c r="J69" s="1">
        <v>3</v>
      </c>
      <c r="K69" s="1">
        <v>2</v>
      </c>
      <c r="L69" s="1">
        <v>2</v>
      </c>
      <c r="M69" s="1">
        <v>5</v>
      </c>
      <c r="N69" s="19">
        <f>IFERROR(AVERAGE('NIVEL 1'!G69:M69),"-")</f>
        <v>3.4285714285714284</v>
      </c>
      <c r="O69" s="18" t="str" cm="1">
        <f t="array" ref="O69">_xlfn.IFS(NIVEL_1[[#This Row],[Pase de Nivel 4,7 ptos]]="-","-",NIVEL_1[[#This Row],[Pase de Nivel 4,7 ptos]]&gt;=4.7,"CAMBIA A NIVEL 2",NIVEL_1[[#This Row],[Pase de Nivel 4,7 ptos]]&lt;=4.7,"-")</f>
        <v>-</v>
      </c>
    </row>
    <row r="70" spans="1:15" x14ac:dyDescent="0.3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46142</v>
      </c>
      <c r="E70" s="20" t="s">
        <v>104</v>
      </c>
      <c r="F70" s="1">
        <v>1068442748</v>
      </c>
      <c r="G70" s="1">
        <v>5</v>
      </c>
      <c r="H70" s="1">
        <v>2</v>
      </c>
      <c r="I70" s="1">
        <v>2</v>
      </c>
      <c r="J70" s="1">
        <v>1</v>
      </c>
      <c r="K70" s="1">
        <v>1</v>
      </c>
      <c r="L70" s="1">
        <v>1</v>
      </c>
      <c r="M70" s="1">
        <v>1</v>
      </c>
      <c r="N70" s="19">
        <f>IFERROR(AVERAGE('NIVEL 1'!G70:M70),"-")</f>
        <v>1.8571428571428572</v>
      </c>
      <c r="O70" s="18" t="str" cm="1">
        <f t="array" ref="O70">_xlfn.IFS(NIVEL_1[[#This Row],[Pase de Nivel 4,7 ptos]]="-","-",NIVEL_1[[#This Row],[Pase de Nivel 4,7 ptos]]&gt;=4.7,"CAMBIA A NIVEL 2",NIVEL_1[[#This Row],[Pase de Nivel 4,7 ptos]]&lt;=4.7,"-")</f>
        <v>-</v>
      </c>
    </row>
    <row r="71" spans="1:15" x14ac:dyDescent="0.3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46142</v>
      </c>
      <c r="E71" s="20" t="s">
        <v>77</v>
      </c>
      <c r="F71" s="1">
        <v>1068443767</v>
      </c>
      <c r="G71" s="1">
        <v>5</v>
      </c>
      <c r="H71" s="1">
        <v>3</v>
      </c>
      <c r="I71" s="1">
        <v>2</v>
      </c>
      <c r="J71" s="1">
        <v>2</v>
      </c>
      <c r="K71" s="1">
        <v>2</v>
      </c>
      <c r="L71" s="1">
        <v>2</v>
      </c>
      <c r="M71" s="1">
        <v>5</v>
      </c>
      <c r="N71" s="19">
        <f>IFERROR(AVERAGE('NIVEL 1'!G71:M71),"-")</f>
        <v>3</v>
      </c>
      <c r="O71" s="18" t="str" cm="1">
        <f t="array" ref="O71">_xlfn.IFS(NIVEL_1[[#This Row],[Pase de Nivel 4,7 ptos]]="-","-",NIVEL_1[[#This Row],[Pase de Nivel 4,7 ptos]]&gt;=4.7,"CAMBIA A NIVEL 2",NIVEL_1[[#This Row],[Pase de Nivel 4,7 ptos]]&lt;=4.7,"-")</f>
        <v>-</v>
      </c>
    </row>
    <row r="72" spans="1:15" x14ac:dyDescent="0.3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46142</v>
      </c>
      <c r="E72" s="20" t="s">
        <v>121</v>
      </c>
      <c r="F72" s="1">
        <v>1068580241</v>
      </c>
      <c r="G72" s="1">
        <v>5</v>
      </c>
      <c r="H72" s="1">
        <v>5</v>
      </c>
      <c r="I72" s="1">
        <v>4</v>
      </c>
      <c r="J72" s="1">
        <v>3</v>
      </c>
      <c r="K72" s="1">
        <v>4</v>
      </c>
      <c r="L72" s="1">
        <v>3</v>
      </c>
      <c r="M72" s="1">
        <v>4</v>
      </c>
      <c r="N72" s="19">
        <f>IFERROR(AVERAGE('NIVEL 1'!G72:M72),"-")</f>
        <v>4</v>
      </c>
      <c r="O72" s="18" t="str" cm="1">
        <f t="array" ref="O72">_xlfn.IFS(NIVEL_1[[#This Row],[Pase de Nivel 4,7 ptos]]="-","-",NIVEL_1[[#This Row],[Pase de Nivel 4,7 ptos]]&gt;=4.7,"CAMBIA A NIVEL 2",NIVEL_1[[#This Row],[Pase de Nivel 4,7 ptos]]&lt;=4.7,"-")</f>
        <v>-</v>
      </c>
    </row>
    <row r="73" spans="1:15" x14ac:dyDescent="0.3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46142</v>
      </c>
      <c r="E73" s="20" t="s">
        <v>125</v>
      </c>
      <c r="F73" s="1">
        <v>1103755851</v>
      </c>
      <c r="G73" s="1">
        <v>5</v>
      </c>
      <c r="H73" s="1">
        <v>4</v>
      </c>
      <c r="I73" s="1">
        <v>4</v>
      </c>
      <c r="J73" s="1">
        <v>3</v>
      </c>
      <c r="K73" s="1">
        <v>2</v>
      </c>
      <c r="L73" s="1">
        <v>2</v>
      </c>
      <c r="M73" s="1">
        <v>4</v>
      </c>
      <c r="N73" s="19">
        <f>IFERROR(AVERAGE('NIVEL 1'!G73:M73),"-")</f>
        <v>3.4285714285714284</v>
      </c>
      <c r="O73" s="18" t="str" cm="1">
        <f t="array" ref="O73">_xlfn.IFS(NIVEL_1[[#This Row],[Pase de Nivel 4,7 ptos]]="-","-",NIVEL_1[[#This Row],[Pase de Nivel 4,7 ptos]]&gt;=4.7,"CAMBIA A NIVEL 2",NIVEL_1[[#This Row],[Pase de Nivel 4,7 ptos]]&lt;=4.7,"-")</f>
        <v>-</v>
      </c>
    </row>
    <row r="74" spans="1:15" x14ac:dyDescent="0.3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46142</v>
      </c>
      <c r="E74" s="20" t="s">
        <v>103</v>
      </c>
      <c r="F74" s="1">
        <v>1137975856</v>
      </c>
      <c r="G74" s="1">
        <v>5</v>
      </c>
      <c r="H74" s="1">
        <v>5</v>
      </c>
      <c r="I74" s="1">
        <v>5</v>
      </c>
      <c r="J74" s="1">
        <v>5</v>
      </c>
      <c r="K74" s="1">
        <v>5</v>
      </c>
      <c r="L74" s="1">
        <v>5</v>
      </c>
      <c r="M74" s="1">
        <v>5</v>
      </c>
      <c r="N74" s="19">
        <f>IFERROR(AVERAGE('NIVEL 1'!G74:M74),"-")</f>
        <v>5</v>
      </c>
      <c r="O74" s="18" t="str" cm="1">
        <f t="array" ref="O74">_xlfn.IFS(NIVEL_1[[#This Row],[Pase de Nivel 4,7 ptos]]="-","-",NIVEL_1[[#This Row],[Pase de Nivel 4,7 ptos]]&gt;=4.7,"CAMBIA A NIVEL 2",NIVEL_1[[#This Row],[Pase de Nivel 4,7 ptos]]&lt;=4.7,"-")</f>
        <v>CAMBIA A NIVEL 2</v>
      </c>
    </row>
    <row r="75" spans="1:15" x14ac:dyDescent="0.3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46142</v>
      </c>
      <c r="E75" s="20" t="s">
        <v>102</v>
      </c>
      <c r="F75" s="1">
        <v>1138030749</v>
      </c>
      <c r="G75" s="1">
        <v>5</v>
      </c>
      <c r="H75" s="1">
        <v>5</v>
      </c>
      <c r="I75" s="1">
        <v>4</v>
      </c>
      <c r="J75" s="1">
        <v>4</v>
      </c>
      <c r="K75" s="1">
        <v>4</v>
      </c>
      <c r="L75" s="1">
        <v>4</v>
      </c>
      <c r="M75" s="1">
        <v>5</v>
      </c>
      <c r="N75" s="19">
        <f>IFERROR(AVERAGE('NIVEL 1'!G75:M75),"-")</f>
        <v>4.4285714285714288</v>
      </c>
      <c r="O75" s="18" t="str" cm="1">
        <f t="array" ref="O75">_xlfn.IFS(NIVEL_1[[#This Row],[Pase de Nivel 4,7 ptos]]="-","-",NIVEL_1[[#This Row],[Pase de Nivel 4,7 ptos]]&gt;=4.7,"CAMBIA A NIVEL 2",NIVEL_1[[#This Row],[Pase de Nivel 4,7 ptos]]&lt;=4.7,"-")</f>
        <v>-</v>
      </c>
    </row>
    <row r="76" spans="1:15" x14ac:dyDescent="0.3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46142</v>
      </c>
      <c r="E76" s="20" t="s">
        <v>108</v>
      </c>
      <c r="F76" s="1">
        <v>1233348383</v>
      </c>
      <c r="G76" s="1">
        <v>5</v>
      </c>
      <c r="H76" s="1">
        <v>4</v>
      </c>
      <c r="I76" s="1">
        <v>3</v>
      </c>
      <c r="J76" s="1">
        <v>3</v>
      </c>
      <c r="K76" s="1">
        <v>2</v>
      </c>
      <c r="L76" s="1">
        <v>2</v>
      </c>
      <c r="M76" s="1">
        <v>4</v>
      </c>
      <c r="N76" s="19">
        <f>IFERROR(AVERAGE('NIVEL 1'!G76:M76),"-")</f>
        <v>3.2857142857142856</v>
      </c>
      <c r="O76" s="18" t="str" cm="1">
        <f t="array" ref="O76">_xlfn.IFS(NIVEL_1[[#This Row],[Pase de Nivel 4,7 ptos]]="-","-",NIVEL_1[[#This Row],[Pase de Nivel 4,7 ptos]]&gt;=4.7,"CAMBIA A NIVEL 2",NIVEL_1[[#This Row],[Pase de Nivel 4,7 ptos]]&lt;=4.7,"-")</f>
        <v>-</v>
      </c>
    </row>
    <row r="77" spans="1:15" x14ac:dyDescent="0.3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46142</v>
      </c>
      <c r="E77" s="20" t="s">
        <v>116</v>
      </c>
      <c r="F77" s="1" t="s">
        <v>116</v>
      </c>
      <c r="G77" s="1">
        <v>5</v>
      </c>
      <c r="H77" s="1">
        <v>5</v>
      </c>
      <c r="I77" s="1">
        <v>5</v>
      </c>
      <c r="J77" s="1">
        <v>3</v>
      </c>
      <c r="K77" s="1">
        <v>5</v>
      </c>
      <c r="L77" s="1">
        <v>3</v>
      </c>
      <c r="M77" s="1">
        <v>5</v>
      </c>
      <c r="N77" s="19">
        <f>IFERROR(AVERAGE('NIVEL 1'!G77:M77),"-")</f>
        <v>4.4285714285714288</v>
      </c>
      <c r="O77" s="18" t="str" cm="1">
        <f t="array" ref="O77">_xlfn.IFS(NIVEL_1[[#This Row],[Pase de Nivel 4,7 ptos]]="-","-",NIVEL_1[[#This Row],[Pase de Nivel 4,7 ptos]]&gt;=4.7,"CAMBIA A NIVEL 2",NIVEL_1[[#This Row],[Pase de Nivel 4,7 ptos]]&lt;=4.7,"-")</f>
        <v>-</v>
      </c>
    </row>
    <row r="78" spans="1:15" x14ac:dyDescent="0.3">
      <c r="A78" s="29">
        <f>MONTH(NIVEL_1[[#This Row],[Fecha de Evaluación]])</f>
        <v>5</v>
      </c>
      <c r="B78" s="12" t="str">
        <f>IF(NIVEL_1[[#This Row],['#]]&gt;0,"NIVEL 1","")</f>
        <v>NIVEL 1</v>
      </c>
      <c r="C78" s="12" t="str">
        <f>TEXT(NIVEL_1[[#This Row],[Fecha de Evaluación]],"MMMM")</f>
        <v>mayo</v>
      </c>
      <c r="D78" s="3">
        <v>46171</v>
      </c>
      <c r="E78" s="20" t="s">
        <v>124</v>
      </c>
      <c r="F78" s="1">
        <v>10784668</v>
      </c>
      <c r="G78" s="1">
        <v>5</v>
      </c>
      <c r="H78" s="1">
        <v>5</v>
      </c>
      <c r="I78" s="1">
        <v>4</v>
      </c>
      <c r="J78" s="1">
        <v>4</v>
      </c>
      <c r="K78" s="1">
        <v>4</v>
      </c>
      <c r="L78" s="1">
        <v>3</v>
      </c>
      <c r="M78" s="1">
        <v>5</v>
      </c>
      <c r="N78" s="19">
        <f>IFERROR(AVERAGE('NIVEL 1'!G78:M78),"-")</f>
        <v>4.2857142857142856</v>
      </c>
      <c r="O78" s="18" t="str" cm="1">
        <f t="array" ref="O78">_xlfn.IFS(NIVEL_1[[#This Row],[Pase de Nivel 4,7 ptos]]="-","-",NIVEL_1[[#This Row],[Pase de Nivel 4,7 ptos]]&gt;=4.7,"CAMBIA A NIVEL 2",NIVEL_1[[#This Row],[Pase de Nivel 4,7 ptos]]&lt;=4.7,"-")</f>
        <v>-</v>
      </c>
    </row>
    <row r="79" spans="1:15" x14ac:dyDescent="0.3">
      <c r="A79" s="29">
        <f>MONTH(NIVEL_1[[#This Row],[Fecha de Evaluación]])</f>
        <v>5</v>
      </c>
      <c r="B79" s="12" t="str">
        <f>IF(NIVEL_1[[#This Row],['#]]&gt;0,"NIVEL 1","")</f>
        <v>NIVEL 1</v>
      </c>
      <c r="C79" s="12" t="str">
        <f>TEXT(NIVEL_1[[#This Row],[Fecha de Evaluación]],"MMMM")</f>
        <v>mayo</v>
      </c>
      <c r="D79" s="3">
        <v>46171</v>
      </c>
      <c r="E79" s="20" t="s">
        <v>130</v>
      </c>
      <c r="F79" s="1">
        <v>34882674</v>
      </c>
      <c r="G79" s="1">
        <v>5</v>
      </c>
      <c r="H79" s="1">
        <v>4</v>
      </c>
      <c r="I79" s="1">
        <v>4</v>
      </c>
      <c r="J79" s="1">
        <v>2</v>
      </c>
      <c r="K79" s="1">
        <v>3</v>
      </c>
      <c r="L79" s="1">
        <v>2</v>
      </c>
      <c r="M79" s="1">
        <v>4</v>
      </c>
      <c r="N79" s="19">
        <f>IFERROR(AVERAGE('NIVEL 1'!G79:M79),"-")</f>
        <v>3.4285714285714284</v>
      </c>
      <c r="O79" s="18" t="str" cm="1">
        <f t="array" ref="O79">_xlfn.IFS(NIVEL_1[[#This Row],[Pase de Nivel 4,7 ptos]]="-","-",NIVEL_1[[#This Row],[Pase de Nivel 4,7 ptos]]&gt;=4.7,"CAMBIA A NIVEL 2",NIVEL_1[[#This Row],[Pase de Nivel 4,7 ptos]]&lt;=4.7,"-")</f>
        <v>-</v>
      </c>
    </row>
    <row r="80" spans="1:15" x14ac:dyDescent="0.3">
      <c r="A80" s="29">
        <f>MONTH(NIVEL_1[[#This Row],[Fecha de Evaluación]])</f>
        <v>5</v>
      </c>
      <c r="B80" s="12" t="str">
        <f>IF(NIVEL_1[[#This Row],['#]]&gt;0,"NIVEL 1","")</f>
        <v>NIVEL 1</v>
      </c>
      <c r="C80" s="12" t="str">
        <f>TEXT(NIVEL_1[[#This Row],[Fecha de Evaluación]],"MMMM")</f>
        <v>mayo</v>
      </c>
      <c r="D80" s="3">
        <v>46171</v>
      </c>
      <c r="E80" s="20" t="s">
        <v>132</v>
      </c>
      <c r="F80" s="1">
        <v>50906315</v>
      </c>
      <c r="G80" s="1">
        <v>5</v>
      </c>
      <c r="H80" s="1">
        <v>3</v>
      </c>
      <c r="I80" s="1">
        <v>3</v>
      </c>
      <c r="J80" s="1">
        <v>2</v>
      </c>
      <c r="K80" s="1">
        <v>2</v>
      </c>
      <c r="L80" s="1">
        <v>2</v>
      </c>
      <c r="M80" s="1">
        <v>2</v>
      </c>
      <c r="N80" s="19">
        <f>IFERROR(AVERAGE('NIVEL 1'!G80:M80),"-")</f>
        <v>2.7142857142857144</v>
      </c>
      <c r="O80" s="18" t="str" cm="1">
        <f t="array" ref="O80">_xlfn.IFS(NIVEL_1[[#This Row],[Pase de Nivel 4,7 ptos]]="-","-",NIVEL_1[[#This Row],[Pase de Nivel 4,7 ptos]]&gt;=4.7,"CAMBIA A NIVEL 2",NIVEL_1[[#This Row],[Pase de Nivel 4,7 ptos]]&lt;=4.7,"-")</f>
        <v>-</v>
      </c>
    </row>
    <row r="81" spans="1:15" x14ac:dyDescent="0.3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46171</v>
      </c>
      <c r="E81" s="20" t="s">
        <v>131</v>
      </c>
      <c r="F81" s="1">
        <v>78713979</v>
      </c>
      <c r="G81" s="1">
        <v>5</v>
      </c>
      <c r="H81" s="1">
        <v>4</v>
      </c>
      <c r="I81" s="1">
        <v>4</v>
      </c>
      <c r="J81" s="1">
        <v>3</v>
      </c>
      <c r="K81" s="1">
        <v>2</v>
      </c>
      <c r="L81" s="1">
        <v>2</v>
      </c>
      <c r="M81" s="1">
        <v>5</v>
      </c>
      <c r="N81" s="19">
        <f>IFERROR(AVERAGE('NIVEL 1'!G81:M81),"-")</f>
        <v>3.5714285714285716</v>
      </c>
      <c r="O81" s="18" t="str" cm="1">
        <f t="array" ref="O81">_xlfn.IFS(NIVEL_1[[#This Row],[Pase de Nivel 4,7 ptos]]="-","-",NIVEL_1[[#This Row],[Pase de Nivel 4,7 ptos]]&gt;=4.7,"CAMBIA A NIVEL 2",NIVEL_1[[#This Row],[Pase de Nivel 4,7 ptos]]&lt;=4.7,"-")</f>
        <v>-</v>
      </c>
    </row>
    <row r="82" spans="1:15" x14ac:dyDescent="0.3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46171</v>
      </c>
      <c r="E82" s="20" t="s">
        <v>136</v>
      </c>
      <c r="F82" s="1">
        <v>1003047136</v>
      </c>
      <c r="G82" s="1">
        <v>5</v>
      </c>
      <c r="H82" s="1">
        <v>4</v>
      </c>
      <c r="I82" s="1">
        <v>4</v>
      </c>
      <c r="J82" s="1">
        <v>2</v>
      </c>
      <c r="K82" s="1">
        <v>2</v>
      </c>
      <c r="L82" s="1">
        <v>2</v>
      </c>
      <c r="M82" s="1">
        <v>2</v>
      </c>
      <c r="N82" s="19">
        <f>IFERROR(AVERAGE('NIVEL 1'!G82:M82),"-")</f>
        <v>3</v>
      </c>
      <c r="O82" s="18" t="str" cm="1">
        <f t="array" ref="O82">_xlfn.IFS(NIVEL_1[[#This Row],[Pase de Nivel 4,7 ptos]]="-","-",NIVEL_1[[#This Row],[Pase de Nivel 4,7 ptos]]&gt;=4.7,"CAMBIA A NIVEL 2",NIVEL_1[[#This Row],[Pase de Nivel 4,7 ptos]]&lt;=4.7,"-")</f>
        <v>-</v>
      </c>
    </row>
    <row r="83" spans="1:15" x14ac:dyDescent="0.3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46171</v>
      </c>
      <c r="E83" s="20" t="s">
        <v>123</v>
      </c>
      <c r="F83" s="1">
        <v>1003405136</v>
      </c>
      <c r="G83" s="1">
        <v>5</v>
      </c>
      <c r="H83" s="1">
        <v>5</v>
      </c>
      <c r="I83" s="1">
        <v>4</v>
      </c>
      <c r="J83" s="1">
        <v>3</v>
      </c>
      <c r="K83" s="1">
        <v>4</v>
      </c>
      <c r="L83" s="1">
        <v>3</v>
      </c>
      <c r="M83" s="1">
        <v>5</v>
      </c>
      <c r="N83" s="19">
        <f>IFERROR(AVERAGE('NIVEL 1'!G83:M83),"-")</f>
        <v>4.1428571428571432</v>
      </c>
      <c r="O83" s="18" t="str" cm="1">
        <f t="array" ref="O83">_xlfn.IFS(NIVEL_1[[#This Row],[Pase de Nivel 4,7 ptos]]="-","-",NIVEL_1[[#This Row],[Pase de Nivel 4,7 ptos]]&gt;=4.7,"CAMBIA A NIVEL 2",NIVEL_1[[#This Row],[Pase de Nivel 4,7 ptos]]&lt;=4.7,"-")</f>
        <v>-</v>
      </c>
    </row>
    <row r="84" spans="1:15" x14ac:dyDescent="0.3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46171</v>
      </c>
      <c r="E84" s="20" t="s">
        <v>128</v>
      </c>
      <c r="F84" s="1">
        <v>1003561480</v>
      </c>
      <c r="G84" s="1">
        <v>5</v>
      </c>
      <c r="H84" s="1">
        <v>4</v>
      </c>
      <c r="I84" s="1">
        <v>4</v>
      </c>
      <c r="J84" s="1">
        <v>3</v>
      </c>
      <c r="K84" s="1">
        <v>2</v>
      </c>
      <c r="L84" s="1">
        <v>2</v>
      </c>
      <c r="M84" s="1">
        <v>4</v>
      </c>
      <c r="N84" s="19">
        <f>IFERROR(AVERAGE('NIVEL 1'!G84:M84),"-")</f>
        <v>3.4285714285714284</v>
      </c>
      <c r="O84" s="18" t="str" cm="1">
        <f t="array" ref="O84">_xlfn.IFS(NIVEL_1[[#This Row],[Pase de Nivel 4,7 ptos]]="-","-",NIVEL_1[[#This Row],[Pase de Nivel 4,7 ptos]]&gt;=4.7,"CAMBIA A NIVEL 2",NIVEL_1[[#This Row],[Pase de Nivel 4,7 ptos]]&lt;=4.7,"-")</f>
        <v>-</v>
      </c>
    </row>
    <row r="85" spans="1:15" x14ac:dyDescent="0.3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46171</v>
      </c>
      <c r="E85" s="20" t="s">
        <v>129</v>
      </c>
      <c r="F85" s="1">
        <v>1025564047</v>
      </c>
      <c r="G85" s="1">
        <v>5</v>
      </c>
      <c r="H85" s="1">
        <v>5</v>
      </c>
      <c r="I85" s="1">
        <v>4</v>
      </c>
      <c r="J85" s="1">
        <v>4</v>
      </c>
      <c r="K85" s="1">
        <v>4</v>
      </c>
      <c r="L85" s="1">
        <v>3</v>
      </c>
      <c r="M85" s="1">
        <v>5</v>
      </c>
      <c r="N85" s="19">
        <f>IFERROR(AVERAGE('NIVEL 1'!G85:M85),"-")</f>
        <v>4.2857142857142856</v>
      </c>
      <c r="O85" s="18" t="str" cm="1">
        <f t="array" ref="O85">_xlfn.IFS(NIVEL_1[[#This Row],[Pase de Nivel 4,7 ptos]]="-","-",NIVEL_1[[#This Row],[Pase de Nivel 4,7 ptos]]&gt;=4.7,"CAMBIA A NIVEL 2",NIVEL_1[[#This Row],[Pase de Nivel 4,7 ptos]]&lt;=4.7,"-")</f>
        <v>-</v>
      </c>
    </row>
    <row r="86" spans="1:15" x14ac:dyDescent="0.3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46171</v>
      </c>
      <c r="E86" s="20" t="s">
        <v>122</v>
      </c>
      <c r="F86" s="1">
        <v>1037236492</v>
      </c>
      <c r="G86" s="1">
        <v>5</v>
      </c>
      <c r="H86" s="1">
        <v>5</v>
      </c>
      <c r="I86" s="1">
        <v>4</v>
      </c>
      <c r="J86" s="1">
        <v>3</v>
      </c>
      <c r="K86" s="1">
        <v>4</v>
      </c>
      <c r="L86" s="1">
        <v>3</v>
      </c>
      <c r="M86" s="1">
        <v>5</v>
      </c>
      <c r="N86" s="19">
        <f>IFERROR(AVERAGE('NIVEL 1'!G86:M86),"-")</f>
        <v>4.1428571428571432</v>
      </c>
      <c r="O86" s="18" t="str" cm="1">
        <f t="array" ref="O86">_xlfn.IFS(NIVEL_1[[#This Row],[Pase de Nivel 4,7 ptos]]="-","-",NIVEL_1[[#This Row],[Pase de Nivel 4,7 ptos]]&gt;=4.7,"CAMBIA A NIVEL 2",NIVEL_1[[#This Row],[Pase de Nivel 4,7 ptos]]&lt;=4.7,"-")</f>
        <v>-</v>
      </c>
    </row>
    <row r="87" spans="1:15" x14ac:dyDescent="0.3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46171</v>
      </c>
      <c r="E87" s="20" t="s">
        <v>106</v>
      </c>
      <c r="F87" s="1">
        <v>1062436143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IFERROR(AVERAGE('NIVEL 1'!G87:M87),"-")</f>
        <v>4.1428571428571432</v>
      </c>
      <c r="O87" s="18" t="str" cm="1">
        <f t="array" ref="O87">_xlfn.IFS(NIVEL_1[[#This Row],[Pase de Nivel 4,7 ptos]]="-","-",NIVEL_1[[#This Row],[Pase de Nivel 4,7 ptos]]&gt;=4.7,"CAMBIA A NIVEL 2",NIVEL_1[[#This Row],[Pase de Nivel 4,7 ptos]]&lt;=4.7,"-")</f>
        <v>-</v>
      </c>
    </row>
    <row r="88" spans="1:15" x14ac:dyDescent="0.3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46171</v>
      </c>
      <c r="E88" s="20" t="s">
        <v>127</v>
      </c>
      <c r="F88" s="1">
        <v>1062438398</v>
      </c>
      <c r="G88" s="1">
        <v>5</v>
      </c>
      <c r="H88" s="1">
        <v>5</v>
      </c>
      <c r="I88" s="1">
        <v>5</v>
      </c>
      <c r="J88" s="1">
        <v>5</v>
      </c>
      <c r="K88" s="1">
        <v>5</v>
      </c>
      <c r="L88" s="1">
        <v>4</v>
      </c>
      <c r="M88" s="1">
        <v>5</v>
      </c>
      <c r="N88" s="19">
        <f>IFERROR(AVERAGE('NIVEL 1'!G88:M88),"-")</f>
        <v>4.8571428571428568</v>
      </c>
      <c r="O88" s="18" t="str" cm="1">
        <f t="array" ref="O88">_xlfn.IFS(NIVEL_1[[#This Row],[Pase de Nivel 4,7 ptos]]="-","-",NIVEL_1[[#This Row],[Pase de Nivel 4,7 ptos]]&gt;=4.7,"CAMBIA A NIVEL 2",NIVEL_1[[#This Row],[Pase de Nivel 4,7 ptos]]&lt;=4.7,"-")</f>
        <v>CAMBIA A NIVEL 2</v>
      </c>
    </row>
    <row r="89" spans="1:15" x14ac:dyDescent="0.3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46171</v>
      </c>
      <c r="E89" s="20" t="s">
        <v>135</v>
      </c>
      <c r="F89" s="1">
        <v>1062445895</v>
      </c>
      <c r="G89" s="1">
        <v>5</v>
      </c>
      <c r="H89" s="1">
        <v>5</v>
      </c>
      <c r="I89" s="1">
        <v>4</v>
      </c>
      <c r="J89" s="1">
        <v>2</v>
      </c>
      <c r="K89" s="1">
        <v>3</v>
      </c>
      <c r="L89" s="1">
        <v>2</v>
      </c>
      <c r="M89" s="1">
        <v>5</v>
      </c>
      <c r="N89" s="19">
        <f>IFERROR(AVERAGE('NIVEL 1'!G89:M89),"-")</f>
        <v>3.7142857142857144</v>
      </c>
      <c r="O89" s="18" t="str" cm="1">
        <f t="array" ref="O89">_xlfn.IFS(NIVEL_1[[#This Row],[Pase de Nivel 4,7 ptos]]="-","-",NIVEL_1[[#This Row],[Pase de Nivel 4,7 ptos]]&gt;=4.7,"CAMBIA A NIVEL 2",NIVEL_1[[#This Row],[Pase de Nivel 4,7 ptos]]&lt;=4.7,"-")</f>
        <v>-</v>
      </c>
    </row>
    <row r="90" spans="1:15" x14ac:dyDescent="0.3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46171</v>
      </c>
      <c r="E90" s="20" t="s">
        <v>79</v>
      </c>
      <c r="F90" s="1">
        <v>1062540875</v>
      </c>
      <c r="G90" s="1">
        <v>5</v>
      </c>
      <c r="H90" s="1">
        <v>5</v>
      </c>
      <c r="I90" s="1">
        <v>4</v>
      </c>
      <c r="J90" s="1">
        <v>2</v>
      </c>
      <c r="K90" s="1">
        <v>4</v>
      </c>
      <c r="L90" s="1">
        <v>2</v>
      </c>
      <c r="M90" s="1">
        <v>5</v>
      </c>
      <c r="N90" s="19">
        <f>IFERROR(AVERAGE('NIVEL 1'!G90:M90),"-")</f>
        <v>3.8571428571428572</v>
      </c>
      <c r="O90" s="18" t="str" cm="1">
        <f t="array" ref="O90">_xlfn.IFS(NIVEL_1[[#This Row],[Pase de Nivel 4,7 ptos]]="-","-",NIVEL_1[[#This Row],[Pase de Nivel 4,7 ptos]]&gt;=4.7,"CAMBIA A NIVEL 2",NIVEL_1[[#This Row],[Pase de Nivel 4,7 ptos]]&lt;=4.7,"-")</f>
        <v>-</v>
      </c>
    </row>
    <row r="91" spans="1:15" x14ac:dyDescent="0.3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46171</v>
      </c>
      <c r="E91" s="20" t="s">
        <v>143</v>
      </c>
      <c r="F91" s="1">
        <v>1066747137</v>
      </c>
      <c r="G91" s="1">
        <v>5</v>
      </c>
      <c r="H91" s="1">
        <v>5</v>
      </c>
      <c r="I91" s="1">
        <v>5</v>
      </c>
      <c r="J91" s="1">
        <v>4</v>
      </c>
      <c r="K91" s="1">
        <v>4</v>
      </c>
      <c r="L91" s="1">
        <v>4</v>
      </c>
      <c r="M91" s="1">
        <v>5</v>
      </c>
      <c r="N91" s="19">
        <f>IFERROR(AVERAGE('NIVEL 1'!G91:M91),"-")</f>
        <v>4.5714285714285712</v>
      </c>
      <c r="O91" s="18" t="str" cm="1">
        <f t="array" ref="O91">_xlfn.IFS(NIVEL_1[[#This Row],[Pase de Nivel 4,7 ptos]]="-","-",NIVEL_1[[#This Row],[Pase de Nivel 4,7 ptos]]&gt;=4.7,"CAMBIA A NIVEL 2",NIVEL_1[[#This Row],[Pase de Nivel 4,7 ptos]]&lt;=4.7,"-")</f>
        <v>-</v>
      </c>
    </row>
    <row r="92" spans="1:15" x14ac:dyDescent="0.3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46171</v>
      </c>
      <c r="E92" s="20" t="s">
        <v>101</v>
      </c>
      <c r="F92" s="1">
        <v>1068441879</v>
      </c>
      <c r="G92" s="1">
        <v>5</v>
      </c>
      <c r="H92" s="1">
        <v>5</v>
      </c>
      <c r="I92" s="1">
        <v>4</v>
      </c>
      <c r="J92" s="1">
        <v>3</v>
      </c>
      <c r="K92" s="1">
        <v>3</v>
      </c>
      <c r="L92" s="1">
        <v>2</v>
      </c>
      <c r="M92" s="1">
        <v>5</v>
      </c>
      <c r="N92" s="19">
        <f>IFERROR(AVERAGE('NIVEL 1'!G92:M92),"-")</f>
        <v>3.8571428571428572</v>
      </c>
      <c r="O92" s="18" t="str" cm="1">
        <f t="array" ref="O92">_xlfn.IFS(NIVEL_1[[#This Row],[Pase de Nivel 4,7 ptos]]="-","-",NIVEL_1[[#This Row],[Pase de Nivel 4,7 ptos]]&gt;=4.7,"CAMBIA A NIVEL 2",NIVEL_1[[#This Row],[Pase de Nivel 4,7 ptos]]&lt;=4.7,"-")</f>
        <v>-</v>
      </c>
    </row>
    <row r="93" spans="1:15" x14ac:dyDescent="0.3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46171</v>
      </c>
      <c r="E93" s="20" t="s">
        <v>104</v>
      </c>
      <c r="F93" s="1">
        <v>1068442748</v>
      </c>
      <c r="G93" s="1">
        <v>5</v>
      </c>
      <c r="H93" s="1">
        <v>2</v>
      </c>
      <c r="I93" s="1">
        <v>2</v>
      </c>
      <c r="J93" s="1">
        <v>1</v>
      </c>
      <c r="K93" s="1">
        <v>1</v>
      </c>
      <c r="L93" s="1">
        <v>1</v>
      </c>
      <c r="M93" s="1">
        <v>1</v>
      </c>
      <c r="N93" s="19">
        <f>IFERROR(AVERAGE('NIVEL 1'!G93:M93),"-")</f>
        <v>1.8571428571428572</v>
      </c>
      <c r="O93" s="18" t="str" cm="1">
        <f t="array" ref="O93">_xlfn.IFS(NIVEL_1[[#This Row],[Pase de Nivel 4,7 ptos]]="-","-",NIVEL_1[[#This Row],[Pase de Nivel 4,7 ptos]]&gt;=4.7,"CAMBIA A NIVEL 2",NIVEL_1[[#This Row],[Pase de Nivel 4,7 ptos]]&lt;=4.7,"-")</f>
        <v>-</v>
      </c>
    </row>
    <row r="94" spans="1:15" x14ac:dyDescent="0.3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46171</v>
      </c>
      <c r="E94" s="20" t="s">
        <v>121</v>
      </c>
      <c r="F94" s="1">
        <v>1068580241</v>
      </c>
      <c r="G94" s="1">
        <v>5</v>
      </c>
      <c r="H94" s="1">
        <v>5</v>
      </c>
      <c r="I94" s="1">
        <v>5</v>
      </c>
      <c r="J94" s="1">
        <v>4</v>
      </c>
      <c r="K94" s="1">
        <v>5</v>
      </c>
      <c r="L94" s="1">
        <v>4</v>
      </c>
      <c r="M94" s="1">
        <v>5</v>
      </c>
      <c r="N94" s="19">
        <f>IFERROR(AVERAGE('NIVEL 1'!G94:M94),"-")</f>
        <v>4.7142857142857144</v>
      </c>
      <c r="O94" s="18" t="str" cm="1">
        <f t="array" ref="O94">_xlfn.IFS(NIVEL_1[[#This Row],[Pase de Nivel 4,7 ptos]]="-","-",NIVEL_1[[#This Row],[Pase de Nivel 4,7 ptos]]&gt;=4.7,"CAMBIA A NIVEL 2",NIVEL_1[[#This Row],[Pase de Nivel 4,7 ptos]]&lt;=4.7,"-")</f>
        <v>CAMBIA A NIVEL 2</v>
      </c>
    </row>
    <row r="95" spans="1:15" x14ac:dyDescent="0.3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46171</v>
      </c>
      <c r="E95" s="20" t="s">
        <v>125</v>
      </c>
      <c r="F95" s="1">
        <v>1103755851</v>
      </c>
      <c r="G95" s="1">
        <v>5</v>
      </c>
      <c r="H95" s="1">
        <v>5</v>
      </c>
      <c r="I95" s="1">
        <v>4</v>
      </c>
      <c r="J95" s="1">
        <v>3</v>
      </c>
      <c r="K95" s="1">
        <v>4</v>
      </c>
      <c r="L95" s="1">
        <v>3</v>
      </c>
      <c r="M95" s="1">
        <v>5</v>
      </c>
      <c r="N95" s="19">
        <f>IFERROR(AVERAGE('NIVEL 1'!G95:M95),"-")</f>
        <v>4.1428571428571432</v>
      </c>
      <c r="O95" s="18" t="str" cm="1">
        <f t="array" ref="O95">_xlfn.IFS(NIVEL_1[[#This Row],[Pase de Nivel 4,7 ptos]]="-","-",NIVEL_1[[#This Row],[Pase de Nivel 4,7 ptos]]&gt;=4.7,"CAMBIA A NIVEL 2",NIVEL_1[[#This Row],[Pase de Nivel 4,7 ptos]]&lt;=4.7,"-")</f>
        <v>-</v>
      </c>
    </row>
    <row r="96" spans="1:15" x14ac:dyDescent="0.3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46171</v>
      </c>
      <c r="E96" s="20" t="s">
        <v>139</v>
      </c>
      <c r="F96" s="1">
        <v>1138031915</v>
      </c>
      <c r="G96" s="1">
        <v>5</v>
      </c>
      <c r="H96" s="1">
        <v>5</v>
      </c>
      <c r="I96" s="1">
        <v>4</v>
      </c>
      <c r="J96" s="1">
        <v>3</v>
      </c>
      <c r="K96" s="1">
        <v>3</v>
      </c>
      <c r="L96" s="1">
        <v>2</v>
      </c>
      <c r="M96" s="1">
        <v>5</v>
      </c>
      <c r="N96" s="19">
        <f>IFERROR(AVERAGE('NIVEL 1'!G96:M96),"-")</f>
        <v>3.8571428571428572</v>
      </c>
      <c r="O96" s="18" t="str" cm="1">
        <f t="array" ref="O96">_xlfn.IFS(NIVEL_1[[#This Row],[Pase de Nivel 4,7 ptos]]="-","-",NIVEL_1[[#This Row],[Pase de Nivel 4,7 ptos]]&gt;=4.7,"CAMBIA A NIVEL 2",NIVEL_1[[#This Row],[Pase de Nivel 4,7 ptos]]&lt;=4.7,"-")</f>
        <v>-</v>
      </c>
    </row>
    <row r="97" spans="1:15" x14ac:dyDescent="0.3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46171</v>
      </c>
      <c r="E97" s="20" t="s">
        <v>137</v>
      </c>
      <c r="F97" s="1">
        <v>1233040347</v>
      </c>
      <c r="G97" s="1">
        <v>5</v>
      </c>
      <c r="H97" s="1">
        <v>4</v>
      </c>
      <c r="I97" s="1">
        <v>4</v>
      </c>
      <c r="J97" s="1">
        <v>2</v>
      </c>
      <c r="K97" s="1">
        <v>2</v>
      </c>
      <c r="L97" s="1">
        <v>2</v>
      </c>
      <c r="M97" s="1">
        <v>4</v>
      </c>
      <c r="N97" s="19">
        <f>IFERROR(AVERAGE('NIVEL 1'!G97:M97),"-")</f>
        <v>3.2857142857142856</v>
      </c>
      <c r="O97" s="18" t="str" cm="1">
        <f t="array" ref="O97">_xlfn.IFS(NIVEL_1[[#This Row],[Pase de Nivel 4,7 ptos]]="-","-",NIVEL_1[[#This Row],[Pase de Nivel 4,7 ptos]]&gt;=4.7,"CAMBIA A NIVEL 2",NIVEL_1[[#This Row],[Pase de Nivel 4,7 ptos]]&lt;=4.7,"-")</f>
        <v>-</v>
      </c>
    </row>
    <row r="98" spans="1:15" x14ac:dyDescent="0.3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46171</v>
      </c>
      <c r="E98" s="20" t="s">
        <v>108</v>
      </c>
      <c r="F98" s="1">
        <v>1233348383</v>
      </c>
      <c r="G98" s="1">
        <v>5</v>
      </c>
      <c r="H98" s="1">
        <v>5</v>
      </c>
      <c r="I98" s="1">
        <v>4</v>
      </c>
      <c r="J98" s="1">
        <v>3</v>
      </c>
      <c r="K98" s="1">
        <v>3</v>
      </c>
      <c r="L98" s="1">
        <v>3</v>
      </c>
      <c r="M98" s="1">
        <v>5</v>
      </c>
      <c r="N98" s="19">
        <f>IFERROR(AVERAGE('NIVEL 1'!G98:M98),"-")</f>
        <v>4</v>
      </c>
      <c r="O98" s="18" t="str" cm="1">
        <f t="array" ref="O98">_xlfn.IFS(NIVEL_1[[#This Row],[Pase de Nivel 4,7 ptos]]="-","-",NIVEL_1[[#This Row],[Pase de Nivel 4,7 ptos]]&gt;=4.7,"CAMBIA A NIVEL 2",NIVEL_1[[#This Row],[Pase de Nivel 4,7 ptos]]&lt;=4.7,"-")</f>
        <v>-</v>
      </c>
    </row>
    <row r="99" spans="1:15" x14ac:dyDescent="0.3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46171</v>
      </c>
      <c r="E99" s="20" t="s">
        <v>142</v>
      </c>
      <c r="F99" s="1" t="s">
        <v>142</v>
      </c>
      <c r="G99" s="1">
        <v>5</v>
      </c>
      <c r="H99" s="1">
        <v>4</v>
      </c>
      <c r="I99" s="1">
        <v>4</v>
      </c>
      <c r="J99" s="1">
        <v>2</v>
      </c>
      <c r="K99" s="1">
        <v>2</v>
      </c>
      <c r="L99" s="1">
        <v>2</v>
      </c>
      <c r="M99" s="1">
        <v>2</v>
      </c>
      <c r="N99" s="19">
        <f>IFERROR(AVERAGE('NIVEL 1'!G99:M99),"-")</f>
        <v>3</v>
      </c>
      <c r="O99" s="18" t="str" cm="1">
        <f t="array" ref="O99">_xlfn.IFS(NIVEL_1[[#This Row],[Pase de Nivel 4,7 ptos]]="-","-",NIVEL_1[[#This Row],[Pase de Nivel 4,7 ptos]]&gt;=4.7,"CAMBIA A NIVEL 2",NIVEL_1[[#This Row],[Pase de Nivel 4,7 ptos]]&lt;=4.7,"-")</f>
        <v>-</v>
      </c>
    </row>
    <row r="100" spans="1:15" x14ac:dyDescent="0.3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46171</v>
      </c>
      <c r="E100" s="20" t="s">
        <v>140</v>
      </c>
      <c r="F100" s="1" t="s">
        <v>140</v>
      </c>
      <c r="G100" s="1">
        <v>5</v>
      </c>
      <c r="H100" s="1">
        <v>5</v>
      </c>
      <c r="I100" s="1">
        <v>5</v>
      </c>
      <c r="J100" s="1">
        <v>5</v>
      </c>
      <c r="K100" s="1">
        <v>5</v>
      </c>
      <c r="L100" s="1">
        <v>4</v>
      </c>
      <c r="M100" s="1">
        <v>5</v>
      </c>
      <c r="N100" s="19">
        <f>IFERROR(AVERAGE('NIVEL 1'!G100:M100),"-")</f>
        <v>4.8571428571428568</v>
      </c>
      <c r="O100" s="18" t="str" cm="1">
        <f t="array" ref="O100">_xlfn.IFS(NIVEL_1[[#This Row],[Pase de Nivel 4,7 ptos]]="-","-",NIVEL_1[[#This Row],[Pase de Nivel 4,7 ptos]]&gt;=4.7,"CAMBIA A NIVEL 2",NIVEL_1[[#This Row],[Pase de Nivel 4,7 ptos]]&lt;=4.7,"-")</f>
        <v>CAMBIA A NIVEL 2</v>
      </c>
    </row>
    <row r="101" spans="1:15" x14ac:dyDescent="0.3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46171</v>
      </c>
      <c r="E101" s="20" t="s">
        <v>141</v>
      </c>
      <c r="F101" s="1" t="s">
        <v>141</v>
      </c>
      <c r="G101" s="1">
        <v>5</v>
      </c>
      <c r="H101" s="1">
        <v>3</v>
      </c>
      <c r="I101" s="1">
        <v>2</v>
      </c>
      <c r="J101" s="1">
        <v>2</v>
      </c>
      <c r="K101" s="1">
        <v>1</v>
      </c>
      <c r="L101" s="1">
        <v>1</v>
      </c>
      <c r="M101" s="1">
        <v>4</v>
      </c>
      <c r="N101" s="19">
        <f>IFERROR(AVERAGE('NIVEL 1'!G101:M101),"-")</f>
        <v>2.5714285714285716</v>
      </c>
      <c r="O101" s="18" t="str" cm="1">
        <f t="array" ref="O101">_xlfn.IFS(NIVEL_1[[#This Row],[Pase de Nivel 4,7 ptos]]="-","-",NIVEL_1[[#This Row],[Pase de Nivel 4,7 ptos]]&gt;=4.7,"CAMBIA A NIVEL 2",NIVEL_1[[#This Row],[Pase de Nivel 4,7 ptos]]&lt;=4.7,"-")</f>
        <v>-</v>
      </c>
    </row>
    <row r="102" spans="1:15" x14ac:dyDescent="0.3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46171</v>
      </c>
      <c r="E102" s="20" t="s">
        <v>138</v>
      </c>
      <c r="F102" s="1" t="s">
        <v>138</v>
      </c>
      <c r="G102" s="1">
        <v>5</v>
      </c>
      <c r="H102" s="1">
        <v>5</v>
      </c>
      <c r="I102" s="1">
        <v>4</v>
      </c>
      <c r="J102" s="1">
        <v>3</v>
      </c>
      <c r="K102" s="1">
        <v>4</v>
      </c>
      <c r="L102" s="1">
        <v>3</v>
      </c>
      <c r="M102" s="1">
        <v>5</v>
      </c>
      <c r="N102" s="19">
        <f>IFERROR(AVERAGE('NIVEL 1'!G102:M102),"-")</f>
        <v>4.1428571428571432</v>
      </c>
      <c r="O102" s="18" t="str" cm="1">
        <f t="array" ref="O102">_xlfn.IFS(NIVEL_1[[#This Row],[Pase de Nivel 4,7 ptos]]="-","-",NIVEL_1[[#This Row],[Pase de Nivel 4,7 ptos]]&gt;=4.7,"CAMBIA A NIVEL 2",NIVEL_1[[#This Row],[Pase de Nivel 4,7 ptos]]&lt;=4.7,"-")</f>
        <v>-</v>
      </c>
    </row>
    <row r="103" spans="1:15" x14ac:dyDescent="0.3">
      <c r="A103" s="29">
        <f>MONTH(NIVEL_1[[#This Row],[Fecha de Evaluación]])</f>
        <v>6</v>
      </c>
      <c r="B103" s="12" t="str">
        <f>IF(NIVEL_1[[#This Row],['#]]&gt;0,"NIVEL 1","")</f>
        <v>NIVEL 1</v>
      </c>
      <c r="C103" s="12" t="str">
        <f>TEXT(NIVEL_1[[#This Row],[Fecha de Evaluación]],"MMMM")</f>
        <v>junio</v>
      </c>
      <c r="D103" s="3">
        <v>46199</v>
      </c>
      <c r="E103" s="20" t="s">
        <v>132</v>
      </c>
      <c r="F103" s="1">
        <v>50906315</v>
      </c>
      <c r="G103" s="1">
        <v>5</v>
      </c>
      <c r="H103" s="1">
        <v>4</v>
      </c>
      <c r="I103" s="1">
        <v>4</v>
      </c>
      <c r="J103" s="1">
        <v>2</v>
      </c>
      <c r="K103" s="1">
        <v>2</v>
      </c>
      <c r="L103" s="1">
        <v>2</v>
      </c>
      <c r="M103" s="1">
        <v>2</v>
      </c>
      <c r="N103" s="19">
        <f>IFERROR(AVERAGE('NIVEL 1'!G103:M103),"-")</f>
        <v>3</v>
      </c>
      <c r="O103" s="18" t="str" cm="1">
        <f t="array" ref="O103">_xlfn.IFS(NIVEL_1[[#This Row],[Pase de Nivel 4,7 ptos]]="-","-",NIVEL_1[[#This Row],[Pase de Nivel 4,7 ptos]]&gt;=4.7,"CAMBIA A NIVEL 2",NIVEL_1[[#This Row],[Pase de Nivel 4,7 ptos]]&lt;=4.7,"-")</f>
        <v>-</v>
      </c>
    </row>
    <row r="104" spans="1:15" x14ac:dyDescent="0.3">
      <c r="A104" s="29">
        <f>MONTH(NIVEL_1[[#This Row],[Fecha de Evaluación]])</f>
        <v>6</v>
      </c>
      <c r="B104" s="12" t="str">
        <f>IF(NIVEL_1[[#This Row],['#]]&gt;0,"NIVEL 1","")</f>
        <v>NIVEL 1</v>
      </c>
      <c r="C104" s="12" t="str">
        <f>TEXT(NIVEL_1[[#This Row],[Fecha de Evaluación]],"MMMM")</f>
        <v>junio</v>
      </c>
      <c r="D104" s="3">
        <v>46199</v>
      </c>
      <c r="E104" s="20" t="s">
        <v>150</v>
      </c>
      <c r="F104" s="1">
        <v>1001897545</v>
      </c>
      <c r="G104" s="1">
        <v>5</v>
      </c>
      <c r="H104" s="1">
        <v>5</v>
      </c>
      <c r="I104" s="1">
        <v>5</v>
      </c>
      <c r="J104" s="1">
        <v>5</v>
      </c>
      <c r="K104" s="1">
        <v>5</v>
      </c>
      <c r="L104" s="1">
        <v>5</v>
      </c>
      <c r="M104" s="1">
        <v>5</v>
      </c>
      <c r="N104" s="19">
        <f>IFERROR(AVERAGE('NIVEL 1'!G104:M104),"-")</f>
        <v>5</v>
      </c>
      <c r="O104" s="18" t="str" cm="1">
        <f t="array" ref="O104">_xlfn.IFS(NIVEL_1[[#This Row],[Pase de Nivel 4,7 ptos]]="-","-",NIVEL_1[[#This Row],[Pase de Nivel 4,7 ptos]]&gt;=4.7,"CAMBIA A NIVEL 2",NIVEL_1[[#This Row],[Pase de Nivel 4,7 ptos]]&lt;=4.7,"-")</f>
        <v>CAMBIA A NIVEL 2</v>
      </c>
    </row>
    <row r="105" spans="1:15" x14ac:dyDescent="0.3">
      <c r="A105" s="29">
        <f>MONTH(NIVEL_1[[#This Row],[Fecha de Evaluación]])</f>
        <v>6</v>
      </c>
      <c r="B105" s="12" t="str">
        <f>IF(NIVEL_1[[#This Row],['#]]&gt;0,"NIVEL 1","")</f>
        <v>NIVEL 1</v>
      </c>
      <c r="C105" s="12" t="str">
        <f>TEXT(NIVEL_1[[#This Row],[Fecha de Evaluación]],"MMMM")</f>
        <v>junio</v>
      </c>
      <c r="D105" s="3">
        <v>46199</v>
      </c>
      <c r="E105" s="20" t="s">
        <v>136</v>
      </c>
      <c r="F105" s="1">
        <v>1003047136</v>
      </c>
      <c r="G105" s="1">
        <v>5</v>
      </c>
      <c r="H105" s="1">
        <v>5</v>
      </c>
      <c r="I105" s="1">
        <v>4</v>
      </c>
      <c r="J105" s="1">
        <v>3</v>
      </c>
      <c r="K105" s="1">
        <v>3</v>
      </c>
      <c r="L105" s="1">
        <v>3</v>
      </c>
      <c r="M105" s="1">
        <v>1</v>
      </c>
      <c r="N105" s="19">
        <f>IFERROR(AVERAGE('NIVEL 1'!G105:M105),"-")</f>
        <v>3.4285714285714284</v>
      </c>
      <c r="O105" s="18" t="str" cm="1">
        <f t="array" ref="O105">_xlfn.IFS(NIVEL_1[[#This Row],[Pase de Nivel 4,7 ptos]]="-","-",NIVEL_1[[#This Row],[Pase de Nivel 4,7 ptos]]&gt;=4.7,"CAMBIA A NIVEL 2",NIVEL_1[[#This Row],[Pase de Nivel 4,7 ptos]]&lt;=4.7,"-")</f>
        <v>-</v>
      </c>
    </row>
    <row r="106" spans="1:15" x14ac:dyDescent="0.3">
      <c r="A106" s="29">
        <f>MONTH(NIVEL_1[[#This Row],[Fecha de Evaluación]])</f>
        <v>6</v>
      </c>
      <c r="B106" s="12" t="str">
        <f>IF(NIVEL_1[[#This Row],['#]]&gt;0,"NIVEL 1","")</f>
        <v>NIVEL 1</v>
      </c>
      <c r="C106" s="12" t="str">
        <f>TEXT(NIVEL_1[[#This Row],[Fecha de Evaluación]],"MMMM")</f>
        <v>junio</v>
      </c>
      <c r="D106" s="3">
        <v>46199</v>
      </c>
      <c r="E106" s="20" t="s">
        <v>123</v>
      </c>
      <c r="F106" s="1">
        <v>1003405136</v>
      </c>
      <c r="G106" s="1">
        <v>5</v>
      </c>
      <c r="H106" s="1">
        <v>5</v>
      </c>
      <c r="I106" s="1">
        <v>5</v>
      </c>
      <c r="J106" s="1">
        <v>4</v>
      </c>
      <c r="K106" s="1">
        <v>4</v>
      </c>
      <c r="L106" s="1">
        <v>3</v>
      </c>
      <c r="M106" s="1">
        <v>5</v>
      </c>
      <c r="N106" s="19">
        <f>IFERROR(AVERAGE('NIVEL 1'!G106:M106),"-")</f>
        <v>4.4285714285714288</v>
      </c>
      <c r="O106" s="18" t="str" cm="1">
        <f t="array" ref="O106">_xlfn.IFS(NIVEL_1[[#This Row],[Pase de Nivel 4,7 ptos]]="-","-",NIVEL_1[[#This Row],[Pase de Nivel 4,7 ptos]]&gt;=4.7,"CAMBIA A NIVEL 2",NIVEL_1[[#This Row],[Pase de Nivel 4,7 ptos]]&lt;=4.7,"-")</f>
        <v>-</v>
      </c>
    </row>
    <row r="107" spans="1:15" x14ac:dyDescent="0.3">
      <c r="A107" s="29">
        <f>MONTH(NIVEL_1[[#This Row],[Fecha de Evaluación]])</f>
        <v>6</v>
      </c>
      <c r="B107" s="12" t="str">
        <f>IF(NIVEL_1[[#This Row],['#]]&gt;0,"NIVEL 1","")</f>
        <v>NIVEL 1</v>
      </c>
      <c r="C107" s="12" t="str">
        <f>TEXT(NIVEL_1[[#This Row],[Fecha de Evaluación]],"MMMM")</f>
        <v>junio</v>
      </c>
      <c r="D107" s="3">
        <v>46199</v>
      </c>
      <c r="E107" s="20" t="s">
        <v>122</v>
      </c>
      <c r="F107" s="1">
        <v>1037236492</v>
      </c>
      <c r="G107" s="1">
        <v>5</v>
      </c>
      <c r="H107" s="1">
        <v>5</v>
      </c>
      <c r="I107" s="1">
        <v>5</v>
      </c>
      <c r="J107" s="1">
        <v>4</v>
      </c>
      <c r="K107" s="1">
        <v>4</v>
      </c>
      <c r="L107" s="1">
        <v>4</v>
      </c>
      <c r="M107" s="1">
        <v>5</v>
      </c>
      <c r="N107" s="19">
        <f>IFERROR(AVERAGE('NIVEL 1'!G107:M107),"-")</f>
        <v>4.5714285714285712</v>
      </c>
      <c r="O107" s="18" t="str" cm="1">
        <f t="array" ref="O107">_xlfn.IFS(NIVEL_1[[#This Row],[Pase de Nivel 4,7 ptos]]="-","-",NIVEL_1[[#This Row],[Pase de Nivel 4,7 ptos]]&gt;=4.7,"CAMBIA A NIVEL 2",NIVEL_1[[#This Row],[Pase de Nivel 4,7 ptos]]&lt;=4.7,"-")</f>
        <v>-</v>
      </c>
    </row>
    <row r="108" spans="1:15" x14ac:dyDescent="0.3">
      <c r="A108" s="29">
        <f>MONTH(NIVEL_1[[#This Row],[Fecha de Evaluación]])</f>
        <v>6</v>
      </c>
      <c r="B108" s="12" t="str">
        <f>IF(NIVEL_1[[#This Row],['#]]&gt;0,"NIVEL 1","")</f>
        <v>NIVEL 1</v>
      </c>
      <c r="C108" s="12" t="str">
        <f>TEXT(NIVEL_1[[#This Row],[Fecha de Evaluación]],"MMMM")</f>
        <v>junio</v>
      </c>
      <c r="D108" s="3">
        <v>46199</v>
      </c>
      <c r="E108" s="20" t="s">
        <v>79</v>
      </c>
      <c r="F108" s="1">
        <v>1062540875</v>
      </c>
      <c r="G108" s="1">
        <v>5</v>
      </c>
      <c r="H108" s="1">
        <v>5</v>
      </c>
      <c r="I108" s="1">
        <v>4</v>
      </c>
      <c r="J108" s="1">
        <v>4</v>
      </c>
      <c r="K108" s="1">
        <v>3</v>
      </c>
      <c r="L108" s="1">
        <v>3</v>
      </c>
      <c r="M108" s="1">
        <v>5</v>
      </c>
      <c r="N108" s="19">
        <f>IFERROR(AVERAGE('NIVEL 1'!G108:M108),"-")</f>
        <v>4.1428571428571432</v>
      </c>
      <c r="O108" s="18" t="str" cm="1">
        <f t="array" ref="O108">_xlfn.IFS(NIVEL_1[[#This Row],[Pase de Nivel 4,7 ptos]]="-","-",NIVEL_1[[#This Row],[Pase de Nivel 4,7 ptos]]&gt;=4.7,"CAMBIA A NIVEL 2",NIVEL_1[[#This Row],[Pase de Nivel 4,7 ptos]]&lt;=4.7,"-")</f>
        <v>-</v>
      </c>
    </row>
    <row r="109" spans="1:15" x14ac:dyDescent="0.3">
      <c r="A109" s="29">
        <f>MONTH(NIVEL_1[[#This Row],[Fecha de Evaluación]])</f>
        <v>6</v>
      </c>
      <c r="B109" s="12" t="str">
        <f>IF(NIVEL_1[[#This Row],['#]]&gt;0,"NIVEL 1","")</f>
        <v>NIVEL 1</v>
      </c>
      <c r="C109" s="12" t="str">
        <f>TEXT(NIVEL_1[[#This Row],[Fecha de Evaluación]],"MMMM")</f>
        <v>junio</v>
      </c>
      <c r="D109" s="3">
        <v>46199</v>
      </c>
      <c r="E109" s="20" t="s">
        <v>149</v>
      </c>
      <c r="F109" s="1">
        <v>1065443120</v>
      </c>
      <c r="G109" s="1">
        <v>5</v>
      </c>
      <c r="H109" s="1">
        <v>5</v>
      </c>
      <c r="I109" s="1">
        <v>5</v>
      </c>
      <c r="J109" s="1">
        <v>5</v>
      </c>
      <c r="K109" s="1">
        <v>4</v>
      </c>
      <c r="L109" s="1">
        <v>4</v>
      </c>
      <c r="M109" s="1">
        <v>5</v>
      </c>
      <c r="N109" s="19">
        <f>IFERROR(AVERAGE('NIVEL 1'!G109:M109),"-")</f>
        <v>4.7142857142857144</v>
      </c>
      <c r="O109" s="18" t="str" cm="1">
        <f t="array" ref="O109">_xlfn.IFS(NIVEL_1[[#This Row],[Pase de Nivel 4,7 ptos]]="-","-",NIVEL_1[[#This Row],[Pase de Nivel 4,7 ptos]]&gt;=4.7,"CAMBIA A NIVEL 2",NIVEL_1[[#This Row],[Pase de Nivel 4,7 ptos]]&lt;=4.7,"-")</f>
        <v>CAMBIA A NIVEL 2</v>
      </c>
    </row>
    <row r="110" spans="1:15" x14ac:dyDescent="0.3">
      <c r="A110" s="29">
        <f>MONTH(NIVEL_1[[#This Row],[Fecha de Evaluación]])</f>
        <v>6</v>
      </c>
      <c r="B110" s="12" t="str">
        <f>IF(NIVEL_1[[#This Row],['#]]&gt;0,"NIVEL 1","")</f>
        <v>NIVEL 1</v>
      </c>
      <c r="C110" s="12" t="str">
        <f>TEXT(NIVEL_1[[#This Row],[Fecha de Evaluación]],"MMMM")</f>
        <v>junio</v>
      </c>
      <c r="D110" s="3">
        <v>46199</v>
      </c>
      <c r="E110" s="20" t="s">
        <v>141</v>
      </c>
      <c r="F110" s="1">
        <v>1068440514</v>
      </c>
      <c r="G110" s="1">
        <v>5</v>
      </c>
      <c r="H110" s="1">
        <v>3</v>
      </c>
      <c r="I110" s="1">
        <v>3</v>
      </c>
      <c r="J110" s="1">
        <v>2</v>
      </c>
      <c r="K110" s="1">
        <v>2</v>
      </c>
      <c r="L110" s="1">
        <v>2</v>
      </c>
      <c r="M110" s="1">
        <v>3</v>
      </c>
      <c r="N110" s="19">
        <f>IFERROR(AVERAGE('NIVEL 1'!G110:M110),"-")</f>
        <v>2.8571428571428572</v>
      </c>
      <c r="O110" s="18" t="str" cm="1">
        <f t="array" ref="O110">_xlfn.IFS(NIVEL_1[[#This Row],[Pase de Nivel 4,7 ptos]]="-","-",NIVEL_1[[#This Row],[Pase de Nivel 4,7 ptos]]&gt;=4.7,"CAMBIA A NIVEL 2",NIVEL_1[[#This Row],[Pase de Nivel 4,7 ptos]]&lt;=4.7,"-")</f>
        <v>-</v>
      </c>
    </row>
    <row r="111" spans="1:15" x14ac:dyDescent="0.3">
      <c r="A111" s="29">
        <f>MONTH(NIVEL_1[[#This Row],[Fecha de Evaluación]])</f>
        <v>6</v>
      </c>
      <c r="B111" s="12" t="str">
        <f>IF(NIVEL_1[[#This Row],['#]]&gt;0,"NIVEL 1","")</f>
        <v>NIVEL 1</v>
      </c>
      <c r="C111" s="12" t="str">
        <f>TEXT(NIVEL_1[[#This Row],[Fecha de Evaluación]],"MMMM")</f>
        <v>junio</v>
      </c>
      <c r="D111" s="3">
        <v>46199</v>
      </c>
      <c r="E111" s="20" t="s">
        <v>104</v>
      </c>
      <c r="F111" s="1">
        <v>1068442748</v>
      </c>
      <c r="G111" s="1">
        <v>5</v>
      </c>
      <c r="H111" s="1">
        <v>2</v>
      </c>
      <c r="I111" s="1">
        <v>2</v>
      </c>
      <c r="J111" s="1">
        <v>1</v>
      </c>
      <c r="K111" s="1">
        <v>1</v>
      </c>
      <c r="L111" s="1">
        <v>1</v>
      </c>
      <c r="M111" s="1">
        <v>1</v>
      </c>
      <c r="N111" s="19">
        <f>IFERROR(AVERAGE('NIVEL 1'!G111:M111),"-")</f>
        <v>1.8571428571428572</v>
      </c>
      <c r="O111" s="18" t="str" cm="1">
        <f t="array" ref="O111">_xlfn.IFS(NIVEL_1[[#This Row],[Pase de Nivel 4,7 ptos]]="-","-",NIVEL_1[[#This Row],[Pase de Nivel 4,7 ptos]]&gt;=4.7,"CAMBIA A NIVEL 2",NIVEL_1[[#This Row],[Pase de Nivel 4,7 ptos]]&lt;=4.7,"-")</f>
        <v>-</v>
      </c>
    </row>
    <row r="112" spans="1:15" x14ac:dyDescent="0.3">
      <c r="A112" s="29">
        <f>MONTH(NIVEL_1[[#This Row],[Fecha de Evaluación]])</f>
        <v>6</v>
      </c>
      <c r="B112" s="12" t="str">
        <f>IF(NIVEL_1[[#This Row],['#]]&gt;0,"NIVEL 1","")</f>
        <v>NIVEL 1</v>
      </c>
      <c r="C112" s="12" t="str">
        <f>TEXT(NIVEL_1[[#This Row],[Fecha de Evaluación]],"MMMM")</f>
        <v>junio</v>
      </c>
      <c r="D112" s="3">
        <v>46199</v>
      </c>
      <c r="E112" s="20" t="s">
        <v>77</v>
      </c>
      <c r="F112" s="1">
        <v>1068443767</v>
      </c>
      <c r="G112" s="1">
        <v>5</v>
      </c>
      <c r="H112" s="1">
        <v>5</v>
      </c>
      <c r="I112" s="1">
        <v>3</v>
      </c>
      <c r="J112" s="1">
        <v>3</v>
      </c>
      <c r="K112" s="1">
        <v>1</v>
      </c>
      <c r="L112" s="1">
        <v>1</v>
      </c>
      <c r="M112" s="1">
        <v>5</v>
      </c>
      <c r="N112" s="19">
        <f>IFERROR(AVERAGE('NIVEL 1'!G112:M112),"-")</f>
        <v>3.2857142857142856</v>
      </c>
      <c r="O112" s="18" t="str" cm="1">
        <f t="array" ref="O112">_xlfn.IFS(NIVEL_1[[#This Row],[Pase de Nivel 4,7 ptos]]="-","-",NIVEL_1[[#This Row],[Pase de Nivel 4,7 ptos]]&gt;=4.7,"CAMBIA A NIVEL 2",NIVEL_1[[#This Row],[Pase de Nivel 4,7 ptos]]&lt;=4.7,"-")</f>
        <v>-</v>
      </c>
    </row>
    <row r="113" spans="1:15" x14ac:dyDescent="0.3">
      <c r="A113" s="29">
        <f>MONTH(NIVEL_1[[#This Row],[Fecha de Evaluación]])</f>
        <v>6</v>
      </c>
      <c r="B113" s="12" t="str">
        <f>IF(NIVEL_1[[#This Row],['#]]&gt;0,"NIVEL 1","")</f>
        <v>NIVEL 1</v>
      </c>
      <c r="C113" s="12" t="str">
        <f>TEXT(NIVEL_1[[#This Row],[Fecha de Evaluación]],"MMMM")</f>
        <v>junio</v>
      </c>
      <c r="D113" s="3">
        <v>46199</v>
      </c>
      <c r="E113" s="20" t="s">
        <v>151</v>
      </c>
      <c r="F113" s="1">
        <v>1091978602</v>
      </c>
      <c r="G113" s="1">
        <v>5</v>
      </c>
      <c r="H113" s="1">
        <v>4</v>
      </c>
      <c r="I113" s="1">
        <v>3</v>
      </c>
      <c r="J113" s="1">
        <v>2</v>
      </c>
      <c r="K113" s="1">
        <v>2</v>
      </c>
      <c r="L113" s="1">
        <v>2</v>
      </c>
      <c r="M113" s="1">
        <v>3</v>
      </c>
      <c r="N113" s="19">
        <f>IFERROR(AVERAGE('NIVEL 1'!G113:M113),"-")</f>
        <v>3</v>
      </c>
      <c r="O113" s="18" t="str" cm="1">
        <f t="array" ref="O113">_xlfn.IFS(NIVEL_1[[#This Row],[Pase de Nivel 4,7 ptos]]="-","-",NIVEL_1[[#This Row],[Pase de Nivel 4,7 ptos]]&gt;=4.7,"CAMBIA A NIVEL 2",NIVEL_1[[#This Row],[Pase de Nivel 4,7 ptos]]&lt;=4.7,"-")</f>
        <v>-</v>
      </c>
    </row>
    <row r="114" spans="1:15" x14ac:dyDescent="0.3">
      <c r="A114" s="29">
        <f>MONTH(NIVEL_1[[#This Row],[Fecha de Evaluación]])</f>
        <v>6</v>
      </c>
      <c r="B114" s="12" t="str">
        <f>IF(NIVEL_1[[#This Row],['#]]&gt;0,"NIVEL 1","")</f>
        <v>NIVEL 1</v>
      </c>
      <c r="C114" s="12" t="str">
        <f>TEXT(NIVEL_1[[#This Row],[Fecha de Evaluación]],"MMMM")</f>
        <v>junio</v>
      </c>
      <c r="D114" s="3">
        <v>46199</v>
      </c>
      <c r="E114" s="20" t="s">
        <v>125</v>
      </c>
      <c r="F114" s="1">
        <v>1103755851</v>
      </c>
      <c r="G114" s="1">
        <v>5</v>
      </c>
      <c r="H114" s="1">
        <v>5</v>
      </c>
      <c r="I114" s="1">
        <v>5</v>
      </c>
      <c r="J114" s="1">
        <v>4</v>
      </c>
      <c r="K114" s="1">
        <v>4</v>
      </c>
      <c r="L114" s="1">
        <v>4</v>
      </c>
      <c r="M114" s="1">
        <v>5</v>
      </c>
      <c r="N114" s="19">
        <f>IFERROR(AVERAGE('NIVEL 1'!G114:M114),"-")</f>
        <v>4.5714285714285712</v>
      </c>
      <c r="O114" s="18" t="str" cm="1">
        <f t="array" ref="O114">_xlfn.IFS(NIVEL_1[[#This Row],[Pase de Nivel 4,7 ptos]]="-","-",NIVEL_1[[#This Row],[Pase de Nivel 4,7 ptos]]&gt;=4.7,"CAMBIA A NIVEL 2",NIVEL_1[[#This Row],[Pase de Nivel 4,7 ptos]]&lt;=4.7,"-")</f>
        <v>-</v>
      </c>
    </row>
    <row r="115" spans="1:15" x14ac:dyDescent="0.3">
      <c r="A115" s="29">
        <f>MONTH(NIVEL_1[[#This Row],[Fecha de Evaluación]])</f>
        <v>6</v>
      </c>
      <c r="B115" s="12" t="str">
        <f>IF(NIVEL_1[[#This Row],['#]]&gt;0,"NIVEL 1","")</f>
        <v>NIVEL 1</v>
      </c>
      <c r="C115" s="12" t="str">
        <f>TEXT(NIVEL_1[[#This Row],[Fecha de Evaluación]],"MMMM")</f>
        <v>junio</v>
      </c>
      <c r="D115" s="3">
        <v>46199</v>
      </c>
      <c r="E115" s="20" t="s">
        <v>137</v>
      </c>
      <c r="F115" s="1">
        <v>1233040347</v>
      </c>
      <c r="G115" s="1">
        <v>5</v>
      </c>
      <c r="H115" s="1">
        <v>4</v>
      </c>
      <c r="I115" s="1">
        <v>4</v>
      </c>
      <c r="J115" s="1">
        <v>4</v>
      </c>
      <c r="K115" s="1">
        <v>3</v>
      </c>
      <c r="L115" s="1">
        <v>3</v>
      </c>
      <c r="M115" s="1">
        <v>3</v>
      </c>
      <c r="N115" s="19">
        <f>IFERROR(AVERAGE('NIVEL 1'!G115:M115),"-")</f>
        <v>3.7142857142857144</v>
      </c>
      <c r="O115" s="18" t="str" cm="1">
        <f t="array" ref="O115">_xlfn.IFS(NIVEL_1[[#This Row],[Pase de Nivel 4,7 ptos]]="-","-",NIVEL_1[[#This Row],[Pase de Nivel 4,7 ptos]]&gt;=4.7,"CAMBIA A NIVEL 2",NIVEL_1[[#This Row],[Pase de Nivel 4,7 ptos]]&lt;=4.7,"-")</f>
        <v>-</v>
      </c>
    </row>
    <row r="116" spans="1:15" x14ac:dyDescent="0.3">
      <c r="A116" s="29">
        <f>MONTH(NIVEL_1[[#This Row],[Fecha de Evaluación]])</f>
        <v>6</v>
      </c>
      <c r="B116" s="12" t="str">
        <f>IF(NIVEL_1[[#This Row],['#]]&gt;0,"NIVEL 1","")</f>
        <v>NIVEL 1</v>
      </c>
      <c r="C116" s="12" t="str">
        <f>TEXT(NIVEL_1[[#This Row],[Fecha de Evaluación]],"MMMM")</f>
        <v>junio</v>
      </c>
      <c r="D116" s="3">
        <v>46199</v>
      </c>
      <c r="E116" s="20" t="s">
        <v>108</v>
      </c>
      <c r="F116" s="1">
        <v>1233348383</v>
      </c>
      <c r="G116" s="1">
        <v>5</v>
      </c>
      <c r="H116" s="1">
        <v>5</v>
      </c>
      <c r="I116" s="1">
        <v>4</v>
      </c>
      <c r="J116" s="1">
        <v>4</v>
      </c>
      <c r="K116" s="1">
        <v>3</v>
      </c>
      <c r="L116" s="1">
        <v>3</v>
      </c>
      <c r="M116" s="1">
        <v>5</v>
      </c>
      <c r="N116" s="19">
        <f>IFERROR(AVERAGE('NIVEL 1'!G116:M116),"-")</f>
        <v>4.1428571428571432</v>
      </c>
      <c r="O116" s="18" t="str" cm="1">
        <f t="array" ref="O116">_xlfn.IFS(NIVEL_1[[#This Row],[Pase de Nivel 4,7 ptos]]="-","-",NIVEL_1[[#This Row],[Pase de Nivel 4,7 ptos]]&gt;=4.7,"CAMBIA A NIVEL 2",NIVEL_1[[#This Row],[Pase de Nivel 4,7 ptos]]&lt;=4.7,"-")</f>
        <v>-</v>
      </c>
    </row>
    <row r="117" spans="1:15" x14ac:dyDescent="0.3">
      <c r="A117" s="40">
        <f>MONTH(NIVEL_1[[#This Row],[Fecha de Evaluación]])</f>
        <v>7</v>
      </c>
      <c r="B117" s="41" t="str">
        <f>IF(NIVEL_1[[#This Row],['#]]&gt;0,"NIVEL 1","")</f>
        <v>NIVEL 1</v>
      </c>
      <c r="C117" s="41" t="str">
        <f>TEXT(NIVEL_1[[#This Row],[Fecha de Evaluación]],"MMMM")</f>
        <v>julio</v>
      </c>
      <c r="D117" s="42">
        <v>46233</v>
      </c>
      <c r="E117" s="43" t="s">
        <v>142</v>
      </c>
      <c r="F117" s="44">
        <v>25800927</v>
      </c>
      <c r="G117" s="45">
        <v>5</v>
      </c>
      <c r="H117" s="45">
        <v>4</v>
      </c>
      <c r="I117" s="45">
        <v>4</v>
      </c>
      <c r="J117" s="45">
        <v>2</v>
      </c>
      <c r="K117" s="45">
        <v>2</v>
      </c>
      <c r="L117" s="45">
        <v>2</v>
      </c>
      <c r="M117" s="45">
        <v>3</v>
      </c>
      <c r="N117" s="19">
        <f>IFERROR(AVERAGE('NIVEL 1'!G117:M117),"-")</f>
        <v>3.1428571428571428</v>
      </c>
      <c r="O117" s="46" t="str" cm="1">
        <f t="array" ref="O117">_xlfn.IFS(NIVEL_1[[#This Row],[Pase de Nivel 4,7 ptos]]="-","-",NIVEL_1[[#This Row],[Pase de Nivel 4,7 ptos]]&gt;=4.7,"CAMBIA A NIVEL 2",NIVEL_1[[#This Row],[Pase de Nivel 4,7 ptos]]&lt;=4.7,"-")</f>
        <v>-</v>
      </c>
    </row>
    <row r="118" spans="1:15" x14ac:dyDescent="0.3">
      <c r="A118" s="40">
        <f>MONTH(NIVEL_1[[#This Row],[Fecha de Evaluación]])</f>
        <v>7</v>
      </c>
      <c r="B118" s="41" t="str">
        <f>IF(NIVEL_1[[#This Row],['#]]&gt;0,"NIVEL 1","")</f>
        <v>NIVEL 1</v>
      </c>
      <c r="C118" s="41" t="str">
        <f>TEXT(NIVEL_1[[#This Row],[Fecha de Evaluación]],"MMMM")</f>
        <v>julio</v>
      </c>
      <c r="D118" s="42">
        <v>46233</v>
      </c>
      <c r="E118" s="43" t="s">
        <v>132</v>
      </c>
      <c r="F118" s="44">
        <v>50906315</v>
      </c>
      <c r="G118" s="45">
        <v>5</v>
      </c>
      <c r="H118" s="45">
        <v>4</v>
      </c>
      <c r="I118" s="45">
        <v>3</v>
      </c>
      <c r="J118" s="45">
        <v>2</v>
      </c>
      <c r="K118" s="45">
        <v>2</v>
      </c>
      <c r="L118" s="45">
        <v>2</v>
      </c>
      <c r="M118" s="45">
        <v>2</v>
      </c>
      <c r="N118" s="19">
        <f>IFERROR(AVERAGE('NIVEL 1'!G118:M118),"-")</f>
        <v>2.8571428571428572</v>
      </c>
      <c r="O118" s="46" t="str" cm="1">
        <f t="array" ref="O118">_xlfn.IFS(NIVEL_1[[#This Row],[Pase de Nivel 4,7 ptos]]="-","-",NIVEL_1[[#This Row],[Pase de Nivel 4,7 ptos]]&gt;=4.7,"CAMBIA A NIVEL 2",NIVEL_1[[#This Row],[Pase de Nivel 4,7 ptos]]&lt;=4.7,"-")</f>
        <v>-</v>
      </c>
    </row>
    <row r="119" spans="1:15" x14ac:dyDescent="0.3">
      <c r="A119" s="40">
        <f>MONTH(NIVEL_1[[#This Row],[Fecha de Evaluación]])</f>
        <v>7</v>
      </c>
      <c r="B119" s="41" t="str">
        <f>IF(NIVEL_1[[#This Row],['#]]&gt;0,"NIVEL 1","")</f>
        <v>NIVEL 1</v>
      </c>
      <c r="C119" s="41" t="str">
        <f>TEXT(NIVEL_1[[#This Row],[Fecha de Evaluación]],"MMMM")</f>
        <v>julio</v>
      </c>
      <c r="D119" s="42">
        <v>46233</v>
      </c>
      <c r="E119" s="43" t="s">
        <v>154</v>
      </c>
      <c r="F119" s="44">
        <v>1016116812</v>
      </c>
      <c r="G119" s="45">
        <v>5</v>
      </c>
      <c r="H119" s="45">
        <v>5</v>
      </c>
      <c r="I119" s="45">
        <v>5</v>
      </c>
      <c r="J119" s="45">
        <v>4</v>
      </c>
      <c r="K119" s="45">
        <v>4</v>
      </c>
      <c r="L119" s="45">
        <v>4</v>
      </c>
      <c r="M119" s="45">
        <v>5</v>
      </c>
      <c r="N119" s="19">
        <f>IFERROR(AVERAGE('NIVEL 1'!G119:M119),"-")</f>
        <v>4.5714285714285712</v>
      </c>
      <c r="O119" s="46" t="str" cm="1">
        <f t="array" ref="O119">_xlfn.IFS(NIVEL_1[[#This Row],[Pase de Nivel 4,7 ptos]]="-","-",NIVEL_1[[#This Row],[Pase de Nivel 4,7 ptos]]&gt;=4.7,"CAMBIA A NIVEL 2",NIVEL_1[[#This Row],[Pase de Nivel 4,7 ptos]]&lt;=4.7,"-")</f>
        <v>-</v>
      </c>
    </row>
    <row r="120" spans="1:15" x14ac:dyDescent="0.3">
      <c r="A120" s="40">
        <f>MONTH(NIVEL_1[[#This Row],[Fecha de Evaluación]])</f>
        <v>7</v>
      </c>
      <c r="B120" s="41" t="str">
        <f>IF(NIVEL_1[[#This Row],['#]]&gt;0,"NIVEL 1","")</f>
        <v>NIVEL 1</v>
      </c>
      <c r="C120" s="41" t="str">
        <f>TEXT(NIVEL_1[[#This Row],[Fecha de Evaluación]],"MMMM")</f>
        <v>julio</v>
      </c>
      <c r="D120" s="42">
        <v>46233</v>
      </c>
      <c r="E120" s="43" t="s">
        <v>122</v>
      </c>
      <c r="F120" s="44">
        <v>1037236492</v>
      </c>
      <c r="G120" s="45">
        <v>5</v>
      </c>
      <c r="H120" s="45">
        <v>5</v>
      </c>
      <c r="I120" s="45">
        <v>5</v>
      </c>
      <c r="J120" s="45">
        <v>4</v>
      </c>
      <c r="K120" s="45">
        <v>5</v>
      </c>
      <c r="L120" s="45">
        <v>4</v>
      </c>
      <c r="M120" s="45">
        <v>5</v>
      </c>
      <c r="N120" s="19">
        <f>IFERROR(AVERAGE('NIVEL 1'!G120:M120),"-")</f>
        <v>4.7142857142857144</v>
      </c>
      <c r="O120" s="46" t="str" cm="1">
        <f t="array" ref="O120">_xlfn.IFS(NIVEL_1[[#This Row],[Pase de Nivel 4,7 ptos]]="-","-",NIVEL_1[[#This Row],[Pase de Nivel 4,7 ptos]]&gt;=4.7,"CAMBIA A NIVEL 2",NIVEL_1[[#This Row],[Pase de Nivel 4,7 ptos]]&lt;=4.7,"-")</f>
        <v>CAMBIA A NIVEL 2</v>
      </c>
    </row>
    <row r="121" spans="1:15" x14ac:dyDescent="0.3">
      <c r="A121" s="40">
        <f>MONTH(NIVEL_1[[#This Row],[Fecha de Evaluación]])</f>
        <v>7</v>
      </c>
      <c r="B121" s="41" t="str">
        <f>IF(NIVEL_1[[#This Row],['#]]&gt;0,"NIVEL 1","")</f>
        <v>NIVEL 1</v>
      </c>
      <c r="C121" s="41" t="str">
        <f>TEXT(NIVEL_1[[#This Row],[Fecha de Evaluación]],"MMMM")</f>
        <v>julio</v>
      </c>
      <c r="D121" s="42">
        <v>46233</v>
      </c>
      <c r="E121" s="43" t="s">
        <v>155</v>
      </c>
      <c r="F121" s="44">
        <v>1062535690</v>
      </c>
      <c r="G121" s="45">
        <v>5</v>
      </c>
      <c r="H121" s="45">
        <v>5</v>
      </c>
      <c r="I121" s="45">
        <v>5</v>
      </c>
      <c r="J121" s="45">
        <v>4</v>
      </c>
      <c r="K121" s="45">
        <v>4</v>
      </c>
      <c r="L121" s="45">
        <v>4</v>
      </c>
      <c r="M121" s="45">
        <v>5</v>
      </c>
      <c r="N121" s="19">
        <f>IFERROR(AVERAGE('NIVEL 1'!G121:M121),"-")</f>
        <v>4.5714285714285712</v>
      </c>
      <c r="O121" s="46" t="str" cm="1">
        <f t="array" ref="O121">_xlfn.IFS(NIVEL_1[[#This Row],[Pase de Nivel 4,7 ptos]]="-","-",NIVEL_1[[#This Row],[Pase de Nivel 4,7 ptos]]&gt;=4.7,"CAMBIA A NIVEL 2",NIVEL_1[[#This Row],[Pase de Nivel 4,7 ptos]]&lt;=4.7,"-")</f>
        <v>-</v>
      </c>
    </row>
    <row r="122" spans="1:15" x14ac:dyDescent="0.3">
      <c r="A122" s="40">
        <f>MONTH(NIVEL_1[[#This Row],[Fecha de Evaluación]])</f>
        <v>7</v>
      </c>
      <c r="B122" s="41" t="str">
        <f>IF(NIVEL_1[[#This Row],['#]]&gt;0,"NIVEL 1","")</f>
        <v>NIVEL 1</v>
      </c>
      <c r="C122" s="41" t="str">
        <f>TEXT(NIVEL_1[[#This Row],[Fecha de Evaluación]],"MMMM")</f>
        <v>julio</v>
      </c>
      <c r="D122" s="42">
        <v>46233</v>
      </c>
      <c r="E122" s="43" t="s">
        <v>79</v>
      </c>
      <c r="F122" s="44">
        <v>1062540875</v>
      </c>
      <c r="G122" s="45">
        <v>5</v>
      </c>
      <c r="H122" s="45">
        <v>5</v>
      </c>
      <c r="I122" s="45">
        <v>4</v>
      </c>
      <c r="J122" s="45">
        <v>3</v>
      </c>
      <c r="K122" s="45">
        <v>3</v>
      </c>
      <c r="L122" s="45">
        <v>3</v>
      </c>
      <c r="M122" s="45">
        <v>5</v>
      </c>
      <c r="N122" s="19">
        <f>IFERROR(AVERAGE('NIVEL 1'!G122:M122),"-")</f>
        <v>4</v>
      </c>
      <c r="O122" s="46" t="str" cm="1">
        <f t="array" ref="O122">_xlfn.IFS(NIVEL_1[[#This Row],[Pase de Nivel 4,7 ptos]]="-","-",NIVEL_1[[#This Row],[Pase de Nivel 4,7 ptos]]&gt;=4.7,"CAMBIA A NIVEL 2",NIVEL_1[[#This Row],[Pase de Nivel 4,7 ptos]]&lt;=4.7,"-")</f>
        <v>-</v>
      </c>
    </row>
    <row r="123" spans="1:15" x14ac:dyDescent="0.3">
      <c r="A123" s="40">
        <f>MONTH(NIVEL_1[[#This Row],[Fecha de Evaluación]])</f>
        <v>7</v>
      </c>
      <c r="B123" s="41" t="str">
        <f>IF(NIVEL_1[[#This Row],['#]]&gt;0,"NIVEL 1","")</f>
        <v>NIVEL 1</v>
      </c>
      <c r="C123" s="41" t="str">
        <f>TEXT(NIVEL_1[[#This Row],[Fecha de Evaluación]],"MMMM")</f>
        <v>julio</v>
      </c>
      <c r="D123" s="42">
        <v>46233</v>
      </c>
      <c r="E123" s="43" t="s">
        <v>152</v>
      </c>
      <c r="F123" s="44">
        <v>1062979535</v>
      </c>
      <c r="G123" s="45">
        <v>5</v>
      </c>
      <c r="H123" s="45">
        <v>5</v>
      </c>
      <c r="I123" s="45">
        <v>4</v>
      </c>
      <c r="J123" s="45">
        <v>4</v>
      </c>
      <c r="K123" s="45">
        <v>3</v>
      </c>
      <c r="L123" s="45">
        <v>3</v>
      </c>
      <c r="M123" s="45">
        <v>5</v>
      </c>
      <c r="N123" s="19">
        <f>IFERROR(AVERAGE('NIVEL 1'!G123:M123),"-")</f>
        <v>4.1428571428571432</v>
      </c>
      <c r="O123" s="46" t="str" cm="1">
        <f t="array" ref="O123">_xlfn.IFS(NIVEL_1[[#This Row],[Pase de Nivel 4,7 ptos]]="-","-",NIVEL_1[[#This Row],[Pase de Nivel 4,7 ptos]]&gt;=4.7,"CAMBIA A NIVEL 2",NIVEL_1[[#This Row],[Pase de Nivel 4,7 ptos]]&lt;=4.7,"-")</f>
        <v>-</v>
      </c>
    </row>
    <row r="124" spans="1:15" x14ac:dyDescent="0.3">
      <c r="A124" s="40">
        <f>MONTH(NIVEL_1[[#This Row],[Fecha de Evaluación]])</f>
        <v>7</v>
      </c>
      <c r="B124" s="41" t="str">
        <f>IF(NIVEL_1[[#This Row],['#]]&gt;0,"NIVEL 1","")</f>
        <v>NIVEL 1</v>
      </c>
      <c r="C124" s="41" t="str">
        <f>TEXT(NIVEL_1[[#This Row],[Fecha de Evaluación]],"MMMM")</f>
        <v>julio</v>
      </c>
      <c r="D124" s="42">
        <v>46233</v>
      </c>
      <c r="E124" s="43" t="s">
        <v>104</v>
      </c>
      <c r="F124" s="44">
        <v>1068442748</v>
      </c>
      <c r="G124" s="45">
        <v>5</v>
      </c>
      <c r="H124" s="45">
        <v>3</v>
      </c>
      <c r="I124" s="45">
        <v>3</v>
      </c>
      <c r="J124" s="45">
        <v>1</v>
      </c>
      <c r="K124" s="45">
        <v>1</v>
      </c>
      <c r="L124" s="45">
        <v>1</v>
      </c>
      <c r="M124" s="45">
        <v>1</v>
      </c>
      <c r="N124" s="19">
        <f>IFERROR(AVERAGE('NIVEL 1'!G124:M124),"-")</f>
        <v>2.1428571428571428</v>
      </c>
      <c r="O124" s="46" t="str" cm="1">
        <f t="array" ref="O124">_xlfn.IFS(NIVEL_1[[#This Row],[Pase de Nivel 4,7 ptos]]="-","-",NIVEL_1[[#This Row],[Pase de Nivel 4,7 ptos]]&gt;=4.7,"CAMBIA A NIVEL 2",NIVEL_1[[#This Row],[Pase de Nivel 4,7 ptos]]&lt;=4.7,"-")</f>
        <v>-</v>
      </c>
    </row>
    <row r="125" spans="1:15" x14ac:dyDescent="0.3">
      <c r="A125" s="40">
        <f>MONTH(NIVEL_1[[#This Row],[Fecha de Evaluación]])</f>
        <v>7</v>
      </c>
      <c r="B125" s="41" t="str">
        <f>IF(NIVEL_1[[#This Row],['#]]&gt;0,"NIVEL 1","")</f>
        <v>NIVEL 1</v>
      </c>
      <c r="C125" s="41" t="str">
        <f>TEXT(NIVEL_1[[#This Row],[Fecha de Evaluación]],"MMMM")</f>
        <v>julio</v>
      </c>
      <c r="D125" s="42">
        <v>46233</v>
      </c>
      <c r="E125" s="43" t="s">
        <v>77</v>
      </c>
      <c r="F125" s="44">
        <v>1068443767</v>
      </c>
      <c r="G125" s="45">
        <v>5</v>
      </c>
      <c r="H125" s="45">
        <v>5</v>
      </c>
      <c r="I125" s="45">
        <v>4</v>
      </c>
      <c r="J125" s="45">
        <v>4</v>
      </c>
      <c r="K125" s="45">
        <v>2</v>
      </c>
      <c r="L125" s="45">
        <v>2</v>
      </c>
      <c r="M125" s="45">
        <v>5</v>
      </c>
      <c r="N125" s="19">
        <f>IFERROR(AVERAGE('NIVEL 1'!G125:M125),"-")</f>
        <v>3.8571428571428572</v>
      </c>
      <c r="O125" s="46" t="str" cm="1">
        <f t="array" ref="O125">_xlfn.IFS(NIVEL_1[[#This Row],[Pase de Nivel 4,7 ptos]]="-","-",NIVEL_1[[#This Row],[Pase de Nivel 4,7 ptos]]&gt;=4.7,"CAMBIA A NIVEL 2",NIVEL_1[[#This Row],[Pase de Nivel 4,7 ptos]]&lt;=4.7,"-")</f>
        <v>-</v>
      </c>
    </row>
    <row r="126" spans="1:15" x14ac:dyDescent="0.3">
      <c r="A126" s="40">
        <f>MONTH(NIVEL_1[[#This Row],[Fecha de Evaluación]])</f>
        <v>7</v>
      </c>
      <c r="B126" s="41" t="str">
        <f>IF(NIVEL_1[[#This Row],['#]]&gt;0,"NIVEL 1","")</f>
        <v>NIVEL 1</v>
      </c>
      <c r="C126" s="41" t="str">
        <f>TEXT(NIVEL_1[[#This Row],[Fecha de Evaluación]],"MMMM")</f>
        <v>julio</v>
      </c>
      <c r="D126" s="42">
        <v>46233</v>
      </c>
      <c r="E126" s="43" t="s">
        <v>153</v>
      </c>
      <c r="F126" s="44">
        <v>1068445190</v>
      </c>
      <c r="G126" s="45">
        <v>5</v>
      </c>
      <c r="H126" s="45">
        <v>3</v>
      </c>
      <c r="I126" s="45">
        <v>2</v>
      </c>
      <c r="J126" s="45">
        <v>2</v>
      </c>
      <c r="K126" s="45">
        <v>1</v>
      </c>
      <c r="L126" s="45">
        <v>1</v>
      </c>
      <c r="M126" s="45">
        <v>2</v>
      </c>
      <c r="N126" s="19">
        <f>IFERROR(AVERAGE('NIVEL 1'!G126:M126),"-")</f>
        <v>2.2857142857142856</v>
      </c>
      <c r="O126" s="46" t="str" cm="1">
        <f t="array" ref="O126">_xlfn.IFS(NIVEL_1[[#This Row],[Pase de Nivel 4,7 ptos]]="-","-",NIVEL_1[[#This Row],[Pase de Nivel 4,7 ptos]]&gt;=4.7,"CAMBIA A NIVEL 2",NIVEL_1[[#This Row],[Pase de Nivel 4,7 ptos]]&lt;=4.7,"-")</f>
        <v>-</v>
      </c>
    </row>
    <row r="127" spans="1:15" x14ac:dyDescent="0.3">
      <c r="A127" s="40">
        <f>MONTH(NIVEL_1[[#This Row],[Fecha de Evaluación]])</f>
        <v>7</v>
      </c>
      <c r="B127" s="41" t="str">
        <f>IF(NIVEL_1[[#This Row],['#]]&gt;0,"NIVEL 1","")</f>
        <v>NIVEL 1</v>
      </c>
      <c r="C127" s="41" t="str">
        <f>TEXT(NIVEL_1[[#This Row],[Fecha de Evaluación]],"MMMM")</f>
        <v>julio</v>
      </c>
      <c r="D127" s="42">
        <v>46233</v>
      </c>
      <c r="E127" s="43" t="s">
        <v>151</v>
      </c>
      <c r="F127" s="44">
        <v>1091978602</v>
      </c>
      <c r="G127" s="45">
        <v>5</v>
      </c>
      <c r="H127" s="45">
        <v>5</v>
      </c>
      <c r="I127" s="45">
        <v>4</v>
      </c>
      <c r="J127" s="45">
        <v>3</v>
      </c>
      <c r="K127" s="45">
        <v>3</v>
      </c>
      <c r="L127" s="45">
        <v>3</v>
      </c>
      <c r="M127" s="45">
        <v>5</v>
      </c>
      <c r="N127" s="19">
        <f>IFERROR(AVERAGE('NIVEL 1'!G127:M127),"-")</f>
        <v>4</v>
      </c>
      <c r="O127" s="46" t="str" cm="1">
        <f t="array" ref="O127">_xlfn.IFS(NIVEL_1[[#This Row],[Pase de Nivel 4,7 ptos]]="-","-",NIVEL_1[[#This Row],[Pase de Nivel 4,7 ptos]]&gt;=4.7,"CAMBIA A NIVEL 2",NIVEL_1[[#This Row],[Pase de Nivel 4,7 ptos]]&lt;=4.7,"-")</f>
        <v>-</v>
      </c>
    </row>
    <row r="128" spans="1:15" x14ac:dyDescent="0.3">
      <c r="A128" s="40">
        <f>MONTH(NIVEL_1[[#This Row],[Fecha de Evaluación]])</f>
        <v>7</v>
      </c>
      <c r="B128" s="41" t="str">
        <f>IF(NIVEL_1[[#This Row],['#]]&gt;0,"NIVEL 1","")</f>
        <v>NIVEL 1</v>
      </c>
      <c r="C128" s="41" t="str">
        <f>TEXT(NIVEL_1[[#This Row],[Fecha de Evaluación]],"MMMM")</f>
        <v>julio</v>
      </c>
      <c r="D128" s="42">
        <v>46233</v>
      </c>
      <c r="E128" s="43" t="s">
        <v>125</v>
      </c>
      <c r="F128" s="44">
        <v>1103755851</v>
      </c>
      <c r="G128" s="45">
        <v>5</v>
      </c>
      <c r="H128" s="45">
        <v>5</v>
      </c>
      <c r="I128" s="45">
        <v>5</v>
      </c>
      <c r="J128" s="45">
        <v>5</v>
      </c>
      <c r="K128" s="45">
        <v>5</v>
      </c>
      <c r="L128" s="45">
        <v>5</v>
      </c>
      <c r="M128" s="45">
        <v>5</v>
      </c>
      <c r="N128" s="19">
        <f>IFERROR(AVERAGE('NIVEL 1'!G128:M128),"-")</f>
        <v>5</v>
      </c>
      <c r="O128" s="46" t="str" cm="1">
        <f t="array" ref="O128">_xlfn.IFS(NIVEL_1[[#This Row],[Pase de Nivel 4,7 ptos]]="-","-",NIVEL_1[[#This Row],[Pase de Nivel 4,7 ptos]]&gt;=4.7,"CAMBIA A NIVEL 2",NIVEL_1[[#This Row],[Pase de Nivel 4,7 ptos]]&lt;=4.7,"-")</f>
        <v>CAMBIA A NIVEL 2</v>
      </c>
    </row>
    <row r="129" spans="1:15" x14ac:dyDescent="0.3">
      <c r="A129" s="40">
        <f>MONTH(NIVEL_1[[#This Row],[Fecha de Evaluación]])</f>
        <v>7</v>
      </c>
      <c r="B129" s="41" t="str">
        <f>IF(NIVEL_1[[#This Row],['#]]&gt;0,"NIVEL 1","")</f>
        <v>NIVEL 1</v>
      </c>
      <c r="C129" s="41" t="str">
        <f>TEXT(NIVEL_1[[#This Row],[Fecha de Evaluación]],"MMMM")</f>
        <v>julio</v>
      </c>
      <c r="D129" s="42">
        <v>46233</v>
      </c>
      <c r="E129" s="43" t="s">
        <v>137</v>
      </c>
      <c r="F129" s="44">
        <v>1233040347</v>
      </c>
      <c r="G129" s="45">
        <v>5</v>
      </c>
      <c r="H129" s="45">
        <v>5</v>
      </c>
      <c r="I129" s="45">
        <v>5</v>
      </c>
      <c r="J129" s="45">
        <v>3</v>
      </c>
      <c r="K129" s="45">
        <v>4</v>
      </c>
      <c r="L129" s="45">
        <v>3</v>
      </c>
      <c r="M129" s="45">
        <v>5</v>
      </c>
      <c r="N129" s="19">
        <f>IFERROR(AVERAGE('NIVEL 1'!G129:M129),"-")</f>
        <v>4.2857142857142856</v>
      </c>
      <c r="O129" s="46" t="str" cm="1">
        <f t="array" ref="O129">_xlfn.IFS(NIVEL_1[[#This Row],[Pase de Nivel 4,7 ptos]]="-","-",NIVEL_1[[#This Row],[Pase de Nivel 4,7 ptos]]&gt;=4.7,"CAMBIA A NIVEL 2",NIVEL_1[[#This Row],[Pase de Nivel 4,7 ptos]]&lt;=4.7,"-")</f>
        <v>-</v>
      </c>
    </row>
    <row r="130" spans="1:15" x14ac:dyDescent="0.3">
      <c r="A130" s="40">
        <f>MONTH(NIVEL_1[[#This Row],[Fecha de Evaluación]])</f>
        <v>7</v>
      </c>
      <c r="B130" s="41" t="str">
        <f>IF(NIVEL_1[[#This Row],['#]]&gt;0,"NIVEL 1","")</f>
        <v>NIVEL 1</v>
      </c>
      <c r="C130" s="41" t="str">
        <f>TEXT(NIVEL_1[[#This Row],[Fecha de Evaluación]],"MMMM")</f>
        <v>julio</v>
      </c>
      <c r="D130" s="42">
        <v>46234</v>
      </c>
      <c r="E130" s="43" t="s">
        <v>130</v>
      </c>
      <c r="F130" s="44">
        <v>34882674</v>
      </c>
      <c r="G130" s="45">
        <v>5</v>
      </c>
      <c r="H130" s="45">
        <v>4</v>
      </c>
      <c r="I130" s="45">
        <v>4</v>
      </c>
      <c r="J130" s="45">
        <v>2</v>
      </c>
      <c r="K130" s="45">
        <v>2</v>
      </c>
      <c r="L130" s="45">
        <v>2</v>
      </c>
      <c r="M130" s="45">
        <v>5</v>
      </c>
      <c r="N130" s="19">
        <f>IFERROR(AVERAGE('NIVEL 1'!G130:M130),"-")</f>
        <v>3.4285714285714284</v>
      </c>
      <c r="O130" s="46" t="str" cm="1">
        <f t="array" ref="O130">_xlfn.IFS(NIVEL_1[[#This Row],[Pase de Nivel 4,7 ptos]]="-","-",NIVEL_1[[#This Row],[Pase de Nivel 4,7 ptos]]&gt;=4.7,"CAMBIA A NIVEL 2",NIVEL_1[[#This Row],[Pase de Nivel 4,7 ptos]]&lt;=4.7,"-")</f>
        <v>-</v>
      </c>
    </row>
    <row r="131" spans="1:15" x14ac:dyDescent="0.3">
      <c r="A131" s="40">
        <f>MONTH(NIVEL_1[[#This Row],[Fecha de Evaluación]])</f>
        <v>7</v>
      </c>
      <c r="B131" s="41" t="str">
        <f>IF(NIVEL_1[[#This Row],['#]]&gt;0,"NIVEL 1","")</f>
        <v>NIVEL 1</v>
      </c>
      <c r="C131" s="41" t="str">
        <f>TEXT(NIVEL_1[[#This Row],[Fecha de Evaluación]],"MMMM")</f>
        <v>julio</v>
      </c>
      <c r="D131" s="42">
        <v>46234</v>
      </c>
      <c r="E131" s="43" t="s">
        <v>136</v>
      </c>
      <c r="F131" s="44">
        <v>1003047136</v>
      </c>
      <c r="G131" s="45">
        <v>5</v>
      </c>
      <c r="H131" s="45">
        <v>5</v>
      </c>
      <c r="I131" s="45">
        <v>5</v>
      </c>
      <c r="J131" s="45">
        <v>2</v>
      </c>
      <c r="K131" s="45">
        <v>3</v>
      </c>
      <c r="L131" s="45">
        <v>2</v>
      </c>
      <c r="M131" s="45">
        <v>2</v>
      </c>
      <c r="N131" s="19">
        <f>IFERROR(AVERAGE('NIVEL 1'!G131:M131),"-")</f>
        <v>3.4285714285714284</v>
      </c>
      <c r="O131" s="46" t="str" cm="1">
        <f t="array" ref="O131">_xlfn.IFS(NIVEL_1[[#This Row],[Pase de Nivel 4,7 ptos]]="-","-",NIVEL_1[[#This Row],[Pase de Nivel 4,7 ptos]]&gt;=4.7,"CAMBIA A NIVEL 2",NIVEL_1[[#This Row],[Pase de Nivel 4,7 ptos]]&lt;=4.7,"-")</f>
        <v>-</v>
      </c>
    </row>
    <row r="132" spans="1:15" x14ac:dyDescent="0.3">
      <c r="A132" s="40">
        <f>MONTH(NIVEL_1[[#This Row],[Fecha de Evaluación]])</f>
        <v>7</v>
      </c>
      <c r="B132" s="41" t="str">
        <f>IF(NIVEL_1[[#This Row],['#]]&gt;0,"NIVEL 1","")</f>
        <v>NIVEL 1</v>
      </c>
      <c r="C132" s="41" t="str">
        <f>TEXT(NIVEL_1[[#This Row],[Fecha de Evaluación]],"MMMM")</f>
        <v>julio</v>
      </c>
      <c r="D132" s="42">
        <v>46234</v>
      </c>
      <c r="E132" s="43" t="s">
        <v>129</v>
      </c>
      <c r="F132" s="44">
        <v>1025564047</v>
      </c>
      <c r="G132" s="45">
        <v>5</v>
      </c>
      <c r="H132" s="45">
        <v>5</v>
      </c>
      <c r="I132" s="45">
        <v>5</v>
      </c>
      <c r="J132" s="45">
        <v>4</v>
      </c>
      <c r="K132" s="45">
        <v>4</v>
      </c>
      <c r="L132" s="45">
        <v>4</v>
      </c>
      <c r="M132" s="45">
        <v>5</v>
      </c>
      <c r="N132" s="19">
        <f>IFERROR(AVERAGE('NIVEL 1'!G132:M132),"-")</f>
        <v>4.5714285714285712</v>
      </c>
      <c r="O132" s="46" t="str" cm="1">
        <f t="array" ref="O132">_xlfn.IFS(NIVEL_1[[#This Row],[Pase de Nivel 4,7 ptos]]="-","-",NIVEL_1[[#This Row],[Pase de Nivel 4,7 ptos]]&gt;=4.7,"CAMBIA A NIVEL 2",NIVEL_1[[#This Row],[Pase de Nivel 4,7 ptos]]&lt;=4.7,"-")</f>
        <v>-</v>
      </c>
    </row>
    <row r="133" spans="1:15" x14ac:dyDescent="0.3">
      <c r="A133" s="40">
        <f>MONTH(NIVEL_1[[#This Row],[Fecha de Evaluación]])</f>
        <v>7</v>
      </c>
      <c r="B133" s="41" t="str">
        <f>IF(NIVEL_1[[#This Row],['#]]&gt;0,"NIVEL 1","")</f>
        <v>NIVEL 1</v>
      </c>
      <c r="C133" s="41" t="str">
        <f>TEXT(NIVEL_1[[#This Row],[Fecha de Evaluación]],"MMMM")</f>
        <v>julio</v>
      </c>
      <c r="D133" s="42">
        <v>46234</v>
      </c>
      <c r="E133" s="43" t="s">
        <v>141</v>
      </c>
      <c r="F133" s="44">
        <v>1068440514</v>
      </c>
      <c r="G133" s="45">
        <v>5</v>
      </c>
      <c r="H133" s="45">
        <v>2</v>
      </c>
      <c r="I133" s="45">
        <v>2</v>
      </c>
      <c r="J133" s="45">
        <v>2</v>
      </c>
      <c r="K133" s="45">
        <v>2</v>
      </c>
      <c r="L133" s="45">
        <v>2</v>
      </c>
      <c r="M133" s="45">
        <v>4</v>
      </c>
      <c r="N133" s="19">
        <f>IFERROR(AVERAGE('NIVEL 1'!G133:M133),"-")</f>
        <v>2.7142857142857144</v>
      </c>
      <c r="O133" s="46" t="str" cm="1">
        <f t="array" ref="O133">_xlfn.IFS(NIVEL_1[[#This Row],[Pase de Nivel 4,7 ptos]]="-","-",NIVEL_1[[#This Row],[Pase de Nivel 4,7 ptos]]&gt;=4.7,"CAMBIA A NIVEL 2",NIVEL_1[[#This Row],[Pase de Nivel 4,7 ptos]]&lt;=4.7,"-")</f>
        <v>-</v>
      </c>
    </row>
    <row r="134" spans="1:15" x14ac:dyDescent="0.3">
      <c r="A134" s="40">
        <f>MONTH(NIVEL_1[[#This Row],[Fecha de Evaluación]])</f>
        <v>7</v>
      </c>
      <c r="B134" s="41" t="str">
        <f>IF(NIVEL_1[[#This Row],['#]]&gt;0,"NIVEL 1","")</f>
        <v>NIVEL 1</v>
      </c>
      <c r="C134" s="41" t="str">
        <f>TEXT(NIVEL_1[[#This Row],[Fecha de Evaluación]],"MMMM")</f>
        <v>julio</v>
      </c>
      <c r="D134" s="42">
        <v>46234</v>
      </c>
      <c r="E134" s="43" t="s">
        <v>139</v>
      </c>
      <c r="F134" s="44">
        <v>1138031915</v>
      </c>
      <c r="G134" s="45">
        <v>5</v>
      </c>
      <c r="H134" s="45">
        <v>5</v>
      </c>
      <c r="I134" s="45">
        <v>4</v>
      </c>
      <c r="J134" s="45">
        <v>3</v>
      </c>
      <c r="K134" s="45">
        <v>4</v>
      </c>
      <c r="L134" s="45">
        <v>3</v>
      </c>
      <c r="M134" s="45">
        <v>3</v>
      </c>
      <c r="N134" s="19">
        <f>IFERROR(AVERAGE('NIVEL 1'!G134:M134),"-")</f>
        <v>3.8571428571428572</v>
      </c>
      <c r="O134" s="46" t="str" cm="1">
        <f t="array" ref="O134">_xlfn.IFS(NIVEL_1[[#This Row],[Pase de Nivel 4,7 ptos]]="-","-",NIVEL_1[[#This Row],[Pase de Nivel 4,7 ptos]]&gt;=4.7,"CAMBIA A NIVEL 2",NIVEL_1[[#This Row],[Pase de Nivel 4,7 ptos]]&lt;=4.7,"-")</f>
        <v>-</v>
      </c>
    </row>
    <row r="135" spans="1:15" x14ac:dyDescent="0.3">
      <c r="A135" s="40">
        <f>MONTH(NIVEL_1[[#This Row],[Fecha de Evaluación]])</f>
        <v>7</v>
      </c>
      <c r="B135" s="41" t="str">
        <f>IF(NIVEL_1[[#This Row],['#]]&gt;0,"NIVEL 1","")</f>
        <v>NIVEL 1</v>
      </c>
      <c r="C135" s="41" t="str">
        <f>TEXT(NIVEL_1[[#This Row],[Fecha de Evaluación]],"MMMM")</f>
        <v>julio</v>
      </c>
      <c r="D135" s="42">
        <v>46234</v>
      </c>
      <c r="E135" s="43" t="s">
        <v>156</v>
      </c>
      <c r="F135" s="44">
        <v>1138032050</v>
      </c>
      <c r="G135" s="45">
        <v>5</v>
      </c>
      <c r="H135" s="45">
        <v>2</v>
      </c>
      <c r="I135" s="45">
        <v>2</v>
      </c>
      <c r="J135" s="45">
        <v>2</v>
      </c>
      <c r="K135" s="45">
        <v>2</v>
      </c>
      <c r="L135" s="45">
        <v>2</v>
      </c>
      <c r="M135" s="45">
        <v>2</v>
      </c>
      <c r="N135" s="19">
        <f>IFERROR(AVERAGE('NIVEL 1'!G135:M135),"-")</f>
        <v>2.4285714285714284</v>
      </c>
      <c r="O135" s="46" t="str" cm="1">
        <f t="array" ref="O135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79"/>
  <sheetViews>
    <sheetView tabSelected="1" workbookViewId="0">
      <pane ySplit="2" topLeftCell="A63" activePane="bottomLeft" state="frozenSplit"/>
      <selection activeCell="F38" sqref="F38:U41"/>
      <selection pane="bottomLeft" activeCell="C67" sqref="C67:C79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  <row r="12" spans="1:15" x14ac:dyDescent="0.3">
      <c r="A12" s="1">
        <f>MONTH(NIVEL_2[[#This Row],[Fecha de Evaluación]])</f>
        <v>3</v>
      </c>
      <c r="B12" s="12" t="str">
        <f>IF(NIVEL_2[[#This Row],['#]]&gt;0,"NIVEL 2","")</f>
        <v>NIVEL 2</v>
      </c>
      <c r="C12" s="12" t="str">
        <f>TEXT(NIVEL_2[[#This Row],[Fecha de Evaluación]],"MMMM")</f>
        <v>marzo</v>
      </c>
      <c r="D12" s="3">
        <v>46110</v>
      </c>
      <c r="E12" s="20" t="s">
        <v>82</v>
      </c>
      <c r="F12" s="1">
        <v>1027663882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5</v>
      </c>
      <c r="M12" s="1">
        <v>3</v>
      </c>
      <c r="N12" s="19">
        <f>IFERROR(AVERAGE('NIVEL 2'!G12:M12),"-")</f>
        <v>3.8571428571428572</v>
      </c>
      <c r="O12" s="18" t="str" cm="1">
        <f t="array" ref="O12">_xlfn.IFS(NIVEL_2[[#This Row],[Pase de Nivel 4,7 ptos]]="-","-",NIVEL_2[[#This Row],[Pase de Nivel 4,7 ptos]]&gt;=4.7,"CAMBIA A NIVEL 3",NIVEL_2[[#This Row],[Pase de Nivel 4,7 ptos]]&lt;=4.7,"-")</f>
        <v>-</v>
      </c>
    </row>
    <row r="13" spans="1:15" x14ac:dyDescent="0.3">
      <c r="A13" s="1">
        <f>MONTH(NIVEL_2[[#This Row],[Fecha de Evaluación]])</f>
        <v>3</v>
      </c>
      <c r="B13" s="12" t="str">
        <f>IF(NIVEL_2[[#This Row],['#]]&gt;0,"NIVEL 2","")</f>
        <v>NIVEL 2</v>
      </c>
      <c r="C13" s="12" t="str">
        <f>TEXT(NIVEL_2[[#This Row],[Fecha de Evaluación]],"MMMM")</f>
        <v>marzo</v>
      </c>
      <c r="D13" s="3">
        <v>46110</v>
      </c>
      <c r="E13" s="20" t="s">
        <v>62</v>
      </c>
      <c r="F13" s="1">
        <v>1035003918</v>
      </c>
      <c r="G13" s="1">
        <v>5</v>
      </c>
      <c r="H13" s="1">
        <v>4</v>
      </c>
      <c r="I13" s="1">
        <v>4</v>
      </c>
      <c r="J13" s="1">
        <v>4</v>
      </c>
      <c r="K13" s="1">
        <v>4</v>
      </c>
      <c r="L13" s="1">
        <v>5</v>
      </c>
      <c r="M13" s="1">
        <v>2</v>
      </c>
      <c r="N13" s="19">
        <f>IFERROR(AVERAGE('NIVEL 2'!G13:M13),"-")</f>
        <v>4</v>
      </c>
      <c r="O13" s="18" t="str" cm="1">
        <f t="array" ref="O13">_xlfn.IFS(NIVEL_2[[#This Row],[Pase de Nivel 4,7 ptos]]="-","-",NIVEL_2[[#This Row],[Pase de Nivel 4,7 ptos]]&gt;=4.7,"CAMBIA A NIVEL 3",NIVEL_2[[#This Row],[Pase de Nivel 4,7 ptos]]&lt;=4.7,"-")</f>
        <v>-</v>
      </c>
    </row>
    <row r="14" spans="1:15" x14ac:dyDescent="0.3">
      <c r="A14" s="1">
        <f>MONTH(NIVEL_2[[#This Row],[Fecha de Evaluación]])</f>
        <v>3</v>
      </c>
      <c r="B14" s="12" t="str">
        <f>IF(NIVEL_2[[#This Row],['#]]&gt;0,"NIVEL 2","")</f>
        <v>NIVEL 2</v>
      </c>
      <c r="C14" s="12" t="str">
        <f>TEXT(NIVEL_2[[#This Row],[Fecha de Evaluación]],"MMMM")</f>
        <v>marzo</v>
      </c>
      <c r="D14" s="3">
        <v>46110</v>
      </c>
      <c r="E14" s="20" t="s">
        <v>111</v>
      </c>
      <c r="F14" s="1">
        <v>1062980565</v>
      </c>
      <c r="G14" s="1">
        <v>4</v>
      </c>
      <c r="H14" s="1">
        <v>4</v>
      </c>
      <c r="I14" s="1">
        <v>2</v>
      </c>
      <c r="J14" s="1">
        <v>3</v>
      </c>
      <c r="K14" s="1">
        <v>3</v>
      </c>
      <c r="L14" s="1">
        <v>5</v>
      </c>
      <c r="M14" s="1">
        <v>2</v>
      </c>
      <c r="N14" s="19">
        <f>IFERROR(AVERAGE('NIVEL 2'!G14:M14),"-")</f>
        <v>3.2857142857142856</v>
      </c>
      <c r="O14" s="18" t="str" cm="1">
        <f t="array" ref="O14">_xlfn.IFS(NIVEL_2[[#This Row],[Pase de Nivel 4,7 ptos]]="-","-",NIVEL_2[[#This Row],[Pase de Nivel 4,7 ptos]]&gt;=4.7,"CAMBIA A NIVEL 3",NIVEL_2[[#This Row],[Pase de Nivel 4,7 ptos]]&lt;=4.7,"-")</f>
        <v>-</v>
      </c>
    </row>
    <row r="15" spans="1:15" x14ac:dyDescent="0.3">
      <c r="A15" s="1">
        <f>MONTH(NIVEL_2[[#This Row],[Fecha de Evaluación]])</f>
        <v>3</v>
      </c>
      <c r="B15" s="12" t="str">
        <f>IF(NIVEL_2[[#This Row],['#]]&gt;0,"NIVEL 2","")</f>
        <v>NIVEL 2</v>
      </c>
      <c r="C15" s="12" t="str">
        <f>TEXT(NIVEL_2[[#This Row],[Fecha de Evaluación]],"MMMM")</f>
        <v>marzo</v>
      </c>
      <c r="D15" s="3">
        <v>46110</v>
      </c>
      <c r="E15" s="20" t="s">
        <v>81</v>
      </c>
      <c r="F15" s="1">
        <v>1062981643</v>
      </c>
      <c r="G15" s="1">
        <v>4</v>
      </c>
      <c r="H15" s="1">
        <v>5</v>
      </c>
      <c r="I15" s="1">
        <v>2</v>
      </c>
      <c r="J15" s="1">
        <v>3</v>
      </c>
      <c r="K15" s="1">
        <v>3</v>
      </c>
      <c r="L15" s="1">
        <v>4</v>
      </c>
      <c r="M15" s="1">
        <v>2</v>
      </c>
      <c r="N15" s="19">
        <f>IFERROR(AVERAGE('NIVEL 2'!G15:M15),"-")</f>
        <v>3.2857142857142856</v>
      </c>
      <c r="O15" s="18" t="str" cm="1">
        <f t="array" ref="O15">_xlfn.IFS(NIVEL_2[[#This Row],[Pase de Nivel 4,7 ptos]]="-","-",NIVEL_2[[#This Row],[Pase de Nivel 4,7 ptos]]&gt;=4.7,"CAMBIA A NIVEL 3",NIVEL_2[[#This Row],[Pase de Nivel 4,7 ptos]]&lt;=4.7,"-")</f>
        <v>-</v>
      </c>
    </row>
    <row r="16" spans="1:15" x14ac:dyDescent="0.3">
      <c r="A16" s="1">
        <f>MONTH(NIVEL_2[[#This Row],[Fecha de Evaluación]])</f>
        <v>3</v>
      </c>
      <c r="B16" s="12" t="str">
        <f>IF(NIVEL_2[[#This Row],['#]]&gt;0,"NIVEL 2","")</f>
        <v>NIVEL 2</v>
      </c>
      <c r="C16" s="12" t="str">
        <f>TEXT(NIVEL_2[[#This Row],[Fecha de Evaluación]],"MMMM")</f>
        <v>marzo</v>
      </c>
      <c r="D16" s="3">
        <v>46110</v>
      </c>
      <c r="E16" s="20" t="s">
        <v>112</v>
      </c>
      <c r="F16" s="1">
        <v>1066747786</v>
      </c>
      <c r="G16" s="1">
        <v>5</v>
      </c>
      <c r="H16" s="1">
        <v>4</v>
      </c>
      <c r="I16" s="1">
        <v>4</v>
      </c>
      <c r="J16" s="1">
        <v>4</v>
      </c>
      <c r="K16" s="1">
        <v>4</v>
      </c>
      <c r="L16" s="1">
        <v>5</v>
      </c>
      <c r="M16" s="1">
        <v>2</v>
      </c>
      <c r="N16" s="19">
        <f>IFERROR(AVERAGE('NIVEL 2'!G16:M16),"-")</f>
        <v>4</v>
      </c>
      <c r="O16" s="18" t="str" cm="1">
        <f t="array" ref="O16">_xlfn.IFS(NIVEL_2[[#This Row],[Pase de Nivel 4,7 ptos]]="-","-",NIVEL_2[[#This Row],[Pase de Nivel 4,7 ptos]]&gt;=4.7,"CAMBIA A NIVEL 3",NIVEL_2[[#This Row],[Pase de Nivel 4,7 ptos]]&lt;=4.7,"-")</f>
        <v>-</v>
      </c>
    </row>
    <row r="17" spans="1:15" x14ac:dyDescent="0.3">
      <c r="A17" s="1">
        <f>MONTH(NIVEL_2[[#This Row],[Fecha de Evaluación]])</f>
        <v>3</v>
      </c>
      <c r="B17" s="12" t="str">
        <f>IF(NIVEL_2[[#This Row],['#]]&gt;0,"NIVEL 2","")</f>
        <v>NIVEL 2</v>
      </c>
      <c r="C17" s="12" t="str">
        <f>TEXT(NIVEL_2[[#This Row],[Fecha de Evaluación]],"MMMM")</f>
        <v>marzo</v>
      </c>
      <c r="D17" s="3">
        <v>46111</v>
      </c>
      <c r="E17" s="20" t="s">
        <v>65</v>
      </c>
      <c r="F17" s="1">
        <v>1067859838</v>
      </c>
      <c r="G17" s="1">
        <v>4</v>
      </c>
      <c r="H17" s="1">
        <v>4</v>
      </c>
      <c r="I17" s="1">
        <v>2</v>
      </c>
      <c r="J17" s="1">
        <v>4</v>
      </c>
      <c r="K17" s="1">
        <v>4</v>
      </c>
      <c r="L17" s="1">
        <v>5</v>
      </c>
      <c r="M17" s="1">
        <v>1</v>
      </c>
      <c r="N17" s="19">
        <f>IFERROR(AVERAGE('NIVEL 2'!G17:M17),"-")</f>
        <v>3.4285714285714284</v>
      </c>
      <c r="O17" s="18" t="str" cm="1">
        <f t="array" ref="O17">_xlfn.IFS(NIVEL_2[[#This Row],[Pase de Nivel 4,7 ptos]]="-","-",NIVEL_2[[#This Row],[Pase de Nivel 4,7 ptos]]&gt;=4.7,"CAMBIA A NIVEL 3",NIVEL_2[[#This Row],[Pase de Nivel 4,7 ptos]]&lt;=4.7,"-")</f>
        <v>-</v>
      </c>
    </row>
    <row r="18" spans="1:15" x14ac:dyDescent="0.3">
      <c r="A18" s="1">
        <f>MONTH(NIVEL_2[[#This Row],[Fecha de Evaluación]])</f>
        <v>3</v>
      </c>
      <c r="B18" s="12" t="str">
        <f>IF(NIVEL_2[[#This Row],['#]]&gt;0,"NIVEL 2","")</f>
        <v>NIVEL 2</v>
      </c>
      <c r="C18" s="12" t="str">
        <f>TEXT(NIVEL_2[[#This Row],[Fecha de Evaluación]],"MMMM")</f>
        <v>marzo</v>
      </c>
      <c r="D18" s="3">
        <v>46110</v>
      </c>
      <c r="E18" s="20" t="s">
        <v>113</v>
      </c>
      <c r="F18" s="1">
        <v>1068439668</v>
      </c>
      <c r="G18" s="1">
        <v>5</v>
      </c>
      <c r="H18" s="1">
        <v>5</v>
      </c>
      <c r="I18" s="1">
        <v>4</v>
      </c>
      <c r="J18" s="1">
        <v>4</v>
      </c>
      <c r="K18" s="1">
        <v>3</v>
      </c>
      <c r="L18" s="1">
        <v>5</v>
      </c>
      <c r="M18" s="1">
        <v>3</v>
      </c>
      <c r="N18" s="19">
        <f>IFERROR(AVERAGE('NIVEL 2'!G18:M18),"-")</f>
        <v>4.1428571428571432</v>
      </c>
      <c r="O18" s="18" t="str" cm="1">
        <f t="array" ref="O18">_xlfn.IFS(NIVEL_2[[#This Row],[Pase de Nivel 4,7 ptos]]="-","-",NIVEL_2[[#This Row],[Pase de Nivel 4,7 ptos]]&gt;=4.7,"CAMBIA A NIVEL 3",NIVEL_2[[#This Row],[Pase de Nivel 4,7 ptos]]&lt;=4.7,"-")</f>
        <v>-</v>
      </c>
    </row>
    <row r="19" spans="1:15" x14ac:dyDescent="0.3">
      <c r="A19" s="1">
        <f>MONTH(NIVEL_2[[#This Row],[Fecha de Evaluación]])</f>
        <v>3</v>
      </c>
      <c r="B19" s="12" t="str">
        <f>IF(NIVEL_2[[#This Row],['#]]&gt;0,"NIVEL 2","")</f>
        <v>NIVEL 2</v>
      </c>
      <c r="C19" s="12" t="str">
        <f>TEXT(NIVEL_2[[#This Row],[Fecha de Evaluación]],"MMMM")</f>
        <v>marzo</v>
      </c>
      <c r="D19" s="3">
        <v>46110</v>
      </c>
      <c r="E19" s="20" t="s">
        <v>72</v>
      </c>
      <c r="F19" s="1">
        <v>1073817245</v>
      </c>
      <c r="G19" s="1">
        <v>5</v>
      </c>
      <c r="H19" s="1">
        <v>4</v>
      </c>
      <c r="I19" s="1">
        <v>2</v>
      </c>
      <c r="J19" s="1">
        <v>3</v>
      </c>
      <c r="K19" s="1">
        <v>2</v>
      </c>
      <c r="L19" s="1">
        <v>5</v>
      </c>
      <c r="M19" s="1">
        <v>2</v>
      </c>
      <c r="N19" s="19">
        <f>IFERROR(AVERAGE('NIVEL 2'!G19:M19),"-")</f>
        <v>3.2857142857142856</v>
      </c>
      <c r="O19" s="18" t="str" cm="1">
        <f t="array" ref="O19">_xlfn.IFS(NIVEL_2[[#This Row],[Pase de Nivel 4,7 ptos]]="-","-",NIVEL_2[[#This Row],[Pase de Nivel 4,7 ptos]]&gt;=4.7,"CAMBIA A NIVEL 3",NIVEL_2[[#This Row],[Pase de Nivel 4,7 ptos]]&lt;=4.7,"-")</f>
        <v>-</v>
      </c>
    </row>
    <row r="20" spans="1:15" x14ac:dyDescent="0.3">
      <c r="A20" s="1">
        <f>MONTH(NIVEL_2[[#This Row],[Fecha de Evaluación]])</f>
        <v>3</v>
      </c>
      <c r="B20" s="12" t="str">
        <f>IF(NIVEL_2[[#This Row],['#]]&gt;0,"NIVEL 2","")</f>
        <v>NIVEL 2</v>
      </c>
      <c r="C20" s="12" t="str">
        <f>TEXT(NIVEL_2[[#This Row],[Fecha de Evaluación]],"MMMM")</f>
        <v>marzo</v>
      </c>
      <c r="D20" s="3">
        <v>46110</v>
      </c>
      <c r="E20" s="20" t="s">
        <v>84</v>
      </c>
      <c r="F20" s="1">
        <v>1104267144</v>
      </c>
      <c r="G20" s="1">
        <v>4</v>
      </c>
      <c r="H20" s="1">
        <v>4</v>
      </c>
      <c r="I20" s="1">
        <v>3</v>
      </c>
      <c r="J20" s="1">
        <v>3</v>
      </c>
      <c r="K20" s="1">
        <v>5</v>
      </c>
      <c r="L20" s="1">
        <v>4</v>
      </c>
      <c r="M20" s="1">
        <v>3</v>
      </c>
      <c r="N20" s="19">
        <f>IFERROR(AVERAGE('NIVEL 2'!G20:M20),"-")</f>
        <v>3.7142857142857144</v>
      </c>
      <c r="O20" s="18" t="str" cm="1">
        <f t="array" ref="O20">_xlfn.IFS(NIVEL_2[[#This Row],[Pase de Nivel 4,7 ptos]]="-","-",NIVEL_2[[#This Row],[Pase de Nivel 4,7 ptos]]&gt;=4.7,"CAMBIA A NIVEL 3",NIVEL_2[[#This Row],[Pase de Nivel 4,7 ptos]]&lt;=4.7,"-")</f>
        <v>-</v>
      </c>
    </row>
    <row r="21" spans="1:15" x14ac:dyDescent="0.3">
      <c r="A21" s="1">
        <f>MONTH(NIVEL_2[[#This Row],[Fecha de Evaluación]])</f>
        <v>3</v>
      </c>
      <c r="B21" s="12" t="str">
        <f>IF(NIVEL_2[[#This Row],['#]]&gt;0,"NIVEL 2","")</f>
        <v>NIVEL 2</v>
      </c>
      <c r="C21" s="12" t="str">
        <f>TEXT(NIVEL_2[[#This Row],[Fecha de Evaluación]],"MMMM")</f>
        <v>marzo</v>
      </c>
      <c r="D21" s="3">
        <v>46110</v>
      </c>
      <c r="E21" s="20" t="s">
        <v>114</v>
      </c>
      <c r="F21" s="1">
        <v>1138031207</v>
      </c>
      <c r="G21" s="1">
        <v>5</v>
      </c>
      <c r="H21" s="1">
        <v>4</v>
      </c>
      <c r="I21" s="1">
        <v>3</v>
      </c>
      <c r="J21" s="1">
        <v>3</v>
      </c>
      <c r="K21" s="1">
        <v>3</v>
      </c>
      <c r="L21" s="1">
        <v>5</v>
      </c>
      <c r="M21" s="1">
        <v>3</v>
      </c>
      <c r="N21" s="19">
        <f>IFERROR(AVERAGE('NIVEL 2'!G21:M21),"-")</f>
        <v>3.7142857142857144</v>
      </c>
      <c r="O21" s="18" t="str" cm="1">
        <f t="array" ref="O21">_xlfn.IFS(NIVEL_2[[#This Row],[Pase de Nivel 4,7 ptos]]="-","-",NIVEL_2[[#This Row],[Pase de Nivel 4,7 ptos]]&gt;=4.7,"CAMBIA A NIVEL 3",NIVEL_2[[#This Row],[Pase de Nivel 4,7 ptos]]&lt;=4.7,"-")</f>
        <v>-</v>
      </c>
    </row>
    <row r="22" spans="1:15" x14ac:dyDescent="0.3">
      <c r="A22" s="1">
        <f>MONTH(NIVEL_2[[#This Row],[Fecha de Evaluación]])</f>
        <v>3</v>
      </c>
      <c r="B22" s="12" t="str">
        <f>IF(NIVEL_2[[#This Row],['#]]&gt;0,"NIVEL 2","")</f>
        <v>NIVEL 2</v>
      </c>
      <c r="C22" s="12" t="str">
        <f>TEXT(NIVEL_2[[#This Row],[Fecha de Evaluación]],"MMMM")</f>
        <v>marzo</v>
      </c>
      <c r="D22" s="3">
        <v>46110</v>
      </c>
      <c r="E22" s="20" t="s">
        <v>83</v>
      </c>
      <c r="F22" s="1">
        <v>1138032549</v>
      </c>
      <c r="G22" s="1">
        <v>4</v>
      </c>
      <c r="H22" s="1">
        <v>5</v>
      </c>
      <c r="I22" s="1">
        <v>3</v>
      </c>
      <c r="J22" s="1">
        <v>3</v>
      </c>
      <c r="K22" s="1">
        <v>5</v>
      </c>
      <c r="L22" s="1">
        <v>5</v>
      </c>
      <c r="M22" s="1">
        <v>5</v>
      </c>
      <c r="N22" s="19">
        <f>IFERROR(AVERAGE('NIVEL 2'!G22:M22),"-")</f>
        <v>4.2857142857142856</v>
      </c>
      <c r="O22" s="18" t="str" cm="1">
        <f t="array" ref="O22">_xlfn.IFS(NIVEL_2[[#This Row],[Pase de Nivel 4,7 ptos]]="-","-",NIVEL_2[[#This Row],[Pase de Nivel 4,7 ptos]]&gt;=4.7,"CAMBIA A NIVEL 3",NIVEL_2[[#This Row],[Pase de Nivel 4,7 ptos]]&lt;=4.7,"-")</f>
        <v>-</v>
      </c>
    </row>
    <row r="23" spans="1:15" x14ac:dyDescent="0.3">
      <c r="A23" s="1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46110</v>
      </c>
      <c r="E23" s="20" t="s">
        <v>73</v>
      </c>
      <c r="F23" s="1">
        <v>1140444971</v>
      </c>
      <c r="G23" s="1">
        <v>5</v>
      </c>
      <c r="H23" s="1">
        <v>4</v>
      </c>
      <c r="I23" s="1">
        <v>4</v>
      </c>
      <c r="J23" s="1">
        <v>4</v>
      </c>
      <c r="K23" s="1">
        <v>3</v>
      </c>
      <c r="L23" s="1">
        <v>5</v>
      </c>
      <c r="M23" s="1">
        <v>3</v>
      </c>
      <c r="N23" s="19">
        <f>IFERROR(AVERAGE('NIVEL 2'!G23:M23),"-")</f>
        <v>4</v>
      </c>
      <c r="O23" s="18" t="str" cm="1">
        <f t="array" ref="O23">_xlfn.IFS(NIVEL_2[[#This Row],[Pase de Nivel 4,7 ptos]]="-","-",NIVEL_2[[#This Row],[Pase de Nivel 4,7 ptos]]&gt;=4.7,"CAMBIA A NIVEL 3",NIVEL_2[[#This Row],[Pase de Nivel 4,7 ptos]]&lt;=4.7,"-")</f>
        <v>-</v>
      </c>
    </row>
    <row r="24" spans="1:15" x14ac:dyDescent="0.3">
      <c r="A24" s="1">
        <f>MONTH(NIVEL_2[[#This Row],[Fecha de Evaluación]])</f>
        <v>4</v>
      </c>
      <c r="B24" s="12" t="str">
        <f>IF(NIVEL_2[[#This Row],['#]]&gt;0,"NIVEL 2","")</f>
        <v>NIVEL 2</v>
      </c>
      <c r="C24" s="12" t="str">
        <f>TEXT(NIVEL_2[[#This Row],[Fecha de Evaluación]],"MMMM")</f>
        <v>abril</v>
      </c>
      <c r="D24" s="3">
        <v>46142</v>
      </c>
      <c r="E24" s="20" t="s">
        <v>82</v>
      </c>
      <c r="F24" s="1">
        <v>1027663882</v>
      </c>
      <c r="G24" s="1">
        <v>4</v>
      </c>
      <c r="H24" s="1">
        <v>4</v>
      </c>
      <c r="I24" s="1">
        <v>5</v>
      </c>
      <c r="J24" s="1">
        <v>4</v>
      </c>
      <c r="K24" s="1">
        <v>3</v>
      </c>
      <c r="L24" s="1">
        <v>5</v>
      </c>
      <c r="M24" s="1">
        <v>3</v>
      </c>
      <c r="N24" s="19">
        <f>IFERROR(AVERAGE('NIVEL 2'!G24:M24),"-")</f>
        <v>4</v>
      </c>
      <c r="O24" s="18" t="str" cm="1">
        <f t="array" ref="O24">_xlfn.IFS(NIVEL_2[[#This Row],[Pase de Nivel 4,7 ptos]]="-","-",NIVEL_2[[#This Row],[Pase de Nivel 4,7 ptos]]&gt;=4.7,"CAMBIA A NIVEL 3",NIVEL_2[[#This Row],[Pase de Nivel 4,7 ptos]]&lt;=4.7,"-")</f>
        <v>-</v>
      </c>
    </row>
    <row r="25" spans="1:15" x14ac:dyDescent="0.3">
      <c r="A25" s="1">
        <f>MONTH(NIVEL_2[[#This Row],[Fecha de Evaluación]])</f>
        <v>4</v>
      </c>
      <c r="B25" s="12" t="str">
        <f>IF(NIVEL_2[[#This Row],['#]]&gt;0,"NIVEL 2","")</f>
        <v>NIVEL 2</v>
      </c>
      <c r="C25" s="12" t="str">
        <f>TEXT(NIVEL_2[[#This Row],[Fecha de Evaluación]],"MMMM")</f>
        <v>abril</v>
      </c>
      <c r="D25" s="3">
        <v>46142</v>
      </c>
      <c r="E25" s="20" t="s">
        <v>100</v>
      </c>
      <c r="F25" s="1">
        <v>1062444411</v>
      </c>
      <c r="G25" s="1">
        <v>5</v>
      </c>
      <c r="H25" s="1">
        <v>5</v>
      </c>
      <c r="I25" s="1">
        <v>2</v>
      </c>
      <c r="J25" s="1">
        <v>3</v>
      </c>
      <c r="K25" s="1">
        <v>4</v>
      </c>
      <c r="L25" s="1">
        <v>5</v>
      </c>
      <c r="M25" s="1">
        <v>2</v>
      </c>
      <c r="N25" s="19">
        <f>IFERROR(AVERAGE('NIVEL 2'!G25:M25),"-")</f>
        <v>3.7142857142857144</v>
      </c>
      <c r="O25" s="18" t="str" cm="1">
        <f t="array" ref="O25">_xlfn.IFS(NIVEL_2[[#This Row],[Pase de Nivel 4,7 ptos]]="-","-",NIVEL_2[[#This Row],[Pase de Nivel 4,7 ptos]]&gt;=4.7,"CAMBIA A NIVEL 3",NIVEL_2[[#This Row],[Pase de Nivel 4,7 ptos]]&lt;=4.7,"-")</f>
        <v>-</v>
      </c>
    </row>
    <row r="26" spans="1:15" x14ac:dyDescent="0.3">
      <c r="A26" s="1">
        <f>MONTH(NIVEL_2[[#This Row],[Fecha de Evaluación]])</f>
        <v>4</v>
      </c>
      <c r="B26" s="12" t="str">
        <f>IF(NIVEL_2[[#This Row],['#]]&gt;0,"NIVEL 2","")</f>
        <v>NIVEL 2</v>
      </c>
      <c r="C26" s="12" t="str">
        <f>TEXT(NIVEL_2[[#This Row],[Fecha de Evaluación]],"MMMM")</f>
        <v>abril</v>
      </c>
      <c r="D26" s="3">
        <v>46142</v>
      </c>
      <c r="E26" s="20" t="s">
        <v>111</v>
      </c>
      <c r="F26" s="1">
        <v>1062980565</v>
      </c>
      <c r="G26" s="1">
        <v>4</v>
      </c>
      <c r="H26" s="1">
        <v>4</v>
      </c>
      <c r="I26" s="1">
        <v>3</v>
      </c>
      <c r="J26" s="1">
        <v>3</v>
      </c>
      <c r="K26" s="1">
        <v>3</v>
      </c>
      <c r="L26" s="1">
        <v>5</v>
      </c>
      <c r="M26" s="1">
        <v>2</v>
      </c>
      <c r="N26" s="19">
        <f>IFERROR(AVERAGE('NIVEL 2'!G26:M26),"-")</f>
        <v>3.4285714285714284</v>
      </c>
      <c r="O26" s="18" t="str" cm="1">
        <f t="array" ref="O26">_xlfn.IFS(NIVEL_2[[#This Row],[Pase de Nivel 4,7 ptos]]="-","-",NIVEL_2[[#This Row],[Pase de Nivel 4,7 ptos]]&gt;=4.7,"CAMBIA A NIVEL 3",NIVEL_2[[#This Row],[Pase de Nivel 4,7 ptos]]&lt;=4.7,"-")</f>
        <v>-</v>
      </c>
    </row>
    <row r="27" spans="1:15" x14ac:dyDescent="0.3">
      <c r="A27" s="1">
        <f>MONTH(NIVEL_2[[#This Row],[Fecha de Evaluación]])</f>
        <v>4</v>
      </c>
      <c r="B27" s="12" t="str">
        <f>IF(NIVEL_2[[#This Row],['#]]&gt;0,"NIVEL 2","")</f>
        <v>NIVEL 2</v>
      </c>
      <c r="C27" s="12" t="str">
        <f>TEXT(NIVEL_2[[#This Row],[Fecha de Evaluación]],"MMMM")</f>
        <v>abril</v>
      </c>
      <c r="D27" s="3">
        <v>46142</v>
      </c>
      <c r="E27" s="20" t="s">
        <v>81</v>
      </c>
      <c r="F27" s="1">
        <v>1062981643</v>
      </c>
      <c r="G27" s="1">
        <v>4</v>
      </c>
      <c r="H27" s="1">
        <v>5</v>
      </c>
      <c r="I27" s="1">
        <v>2</v>
      </c>
      <c r="J27" s="1">
        <v>3</v>
      </c>
      <c r="K27" s="1">
        <v>3</v>
      </c>
      <c r="L27" s="1">
        <v>5</v>
      </c>
      <c r="M27" s="1">
        <v>2</v>
      </c>
      <c r="N27" s="19">
        <f>IFERROR(AVERAGE('NIVEL 2'!G27:M27),"-")</f>
        <v>3.4285714285714284</v>
      </c>
      <c r="O27" s="18" t="str" cm="1">
        <f t="array" ref="O27">_xlfn.IFS(NIVEL_2[[#This Row],[Pase de Nivel 4,7 ptos]]="-","-",NIVEL_2[[#This Row],[Pase de Nivel 4,7 ptos]]&gt;=4.7,"CAMBIA A NIVEL 3",NIVEL_2[[#This Row],[Pase de Nivel 4,7 ptos]]&lt;=4.7,"-")</f>
        <v>-</v>
      </c>
    </row>
    <row r="28" spans="1:15" x14ac:dyDescent="0.3">
      <c r="A28" s="1">
        <f>MONTH(NIVEL_2[[#This Row],[Fecha de Evaluación]])</f>
        <v>4</v>
      </c>
      <c r="B28" s="12" t="str">
        <f>IF(NIVEL_2[[#This Row],['#]]&gt;0,"NIVEL 2","")</f>
        <v>NIVEL 2</v>
      </c>
      <c r="C28" s="12" t="str">
        <f>TEXT(NIVEL_2[[#This Row],[Fecha de Evaluación]],"MMMM")</f>
        <v>abril</v>
      </c>
      <c r="D28" s="3">
        <v>46142</v>
      </c>
      <c r="E28" s="20" t="s">
        <v>133</v>
      </c>
      <c r="F28" s="1">
        <v>1062986616</v>
      </c>
      <c r="G28" s="1">
        <v>4</v>
      </c>
      <c r="H28" s="1">
        <v>4</v>
      </c>
      <c r="I28" s="1">
        <v>4</v>
      </c>
      <c r="J28" s="1">
        <v>3</v>
      </c>
      <c r="K28" s="1">
        <v>2</v>
      </c>
      <c r="L28" s="1">
        <v>5</v>
      </c>
      <c r="M28" s="1">
        <v>1</v>
      </c>
      <c r="N28" s="19">
        <f>IFERROR(AVERAGE('NIVEL 2'!G28:M28),"-")</f>
        <v>3.2857142857142856</v>
      </c>
      <c r="O28" s="18" t="str" cm="1">
        <f t="array" ref="O28">_xlfn.IFS(NIVEL_2[[#This Row],[Pase de Nivel 4,7 ptos]]="-","-",NIVEL_2[[#This Row],[Pase de Nivel 4,7 ptos]]&gt;=4.7,"CAMBIA A NIVEL 3",NIVEL_2[[#This Row],[Pase de Nivel 4,7 ptos]]&lt;=4.7,"-")</f>
        <v>-</v>
      </c>
    </row>
    <row r="29" spans="1:15" x14ac:dyDescent="0.3">
      <c r="A29" s="1">
        <f>MONTH(NIVEL_2[[#This Row],[Fecha de Evaluación]])</f>
        <v>4</v>
      </c>
      <c r="B29" s="12" t="str">
        <f>IF(NIVEL_2[[#This Row],['#]]&gt;0,"NIVEL 2","")</f>
        <v>NIVEL 2</v>
      </c>
      <c r="C29" s="12" t="str">
        <f>TEXT(NIVEL_2[[#This Row],[Fecha de Evaluación]],"MMMM")</f>
        <v>abril</v>
      </c>
      <c r="D29" s="3">
        <v>46142</v>
      </c>
      <c r="E29" s="20" t="s">
        <v>65</v>
      </c>
      <c r="F29" s="1">
        <v>1067859838</v>
      </c>
      <c r="G29" s="1">
        <v>4</v>
      </c>
      <c r="H29" s="1">
        <v>4</v>
      </c>
      <c r="I29" s="1">
        <v>4</v>
      </c>
      <c r="J29" s="1">
        <v>4</v>
      </c>
      <c r="K29" s="1">
        <v>4</v>
      </c>
      <c r="L29" s="1">
        <v>5</v>
      </c>
      <c r="M29" s="1">
        <v>1</v>
      </c>
      <c r="N29" s="19">
        <f>IFERROR(AVERAGE('NIVEL 2'!G29:M29),"-")</f>
        <v>3.7142857142857144</v>
      </c>
      <c r="O29" s="18" t="str" cm="1">
        <f t="array" ref="O29">_xlfn.IFS(NIVEL_2[[#This Row],[Pase de Nivel 4,7 ptos]]="-","-",NIVEL_2[[#This Row],[Pase de Nivel 4,7 ptos]]&gt;=4.7,"CAMBIA A NIVEL 3",NIVEL_2[[#This Row],[Pase de Nivel 4,7 ptos]]&lt;=4.7,"-")</f>
        <v>-</v>
      </c>
    </row>
    <row r="30" spans="1:15" x14ac:dyDescent="0.3">
      <c r="A30" s="1">
        <f>MONTH(NIVEL_2[[#This Row],[Fecha de Evaluación]])</f>
        <v>4</v>
      </c>
      <c r="B30" s="12" t="str">
        <f>IF(NIVEL_2[[#This Row],['#]]&gt;0,"NIVEL 2","")</f>
        <v>NIVEL 2</v>
      </c>
      <c r="C30" s="12" t="str">
        <f>TEXT(NIVEL_2[[#This Row],[Fecha de Evaluación]],"MMMM")</f>
        <v>abril</v>
      </c>
      <c r="D30" s="3">
        <v>46142</v>
      </c>
      <c r="E30" s="20" t="s">
        <v>71</v>
      </c>
      <c r="F30" s="1">
        <v>1067956606</v>
      </c>
      <c r="G30" s="1">
        <v>4</v>
      </c>
      <c r="H30" s="1">
        <v>4</v>
      </c>
      <c r="I30" s="1">
        <v>4</v>
      </c>
      <c r="J30" s="1">
        <v>4</v>
      </c>
      <c r="K30" s="1">
        <v>5</v>
      </c>
      <c r="L30" s="1">
        <v>3</v>
      </c>
      <c r="M30" s="1">
        <v>4</v>
      </c>
      <c r="N30" s="19">
        <f>IFERROR(AVERAGE('NIVEL 2'!G30:M30),"-")</f>
        <v>4</v>
      </c>
      <c r="O30" s="18" t="str" cm="1">
        <f t="array" ref="O30">_xlfn.IFS(NIVEL_2[[#This Row],[Pase de Nivel 4,7 ptos]]="-","-",NIVEL_2[[#This Row],[Pase de Nivel 4,7 ptos]]&gt;=4.7,"CAMBIA A NIVEL 3",NIVEL_2[[#This Row],[Pase de Nivel 4,7 ptos]]&lt;=4.7,"-")</f>
        <v>-</v>
      </c>
    </row>
    <row r="31" spans="1:15" x14ac:dyDescent="0.3">
      <c r="A31" s="1">
        <f>MONTH(NIVEL_2[[#This Row],[Fecha de Evaluación]])</f>
        <v>4</v>
      </c>
      <c r="B31" s="12" t="str">
        <f>IF(NIVEL_2[[#This Row],['#]]&gt;0,"NIVEL 2","")</f>
        <v>NIVEL 2</v>
      </c>
      <c r="C31" s="12" t="str">
        <f>TEXT(NIVEL_2[[#This Row],[Fecha de Evaluación]],"MMMM")</f>
        <v>abril</v>
      </c>
      <c r="D31" s="3">
        <v>46142</v>
      </c>
      <c r="E31" s="20" t="s">
        <v>113</v>
      </c>
      <c r="F31" s="1">
        <v>1068439668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5</v>
      </c>
      <c r="M31" s="1">
        <v>3</v>
      </c>
      <c r="N31" s="19">
        <f>IFERROR(AVERAGE('NIVEL 2'!G31:M31),"-")</f>
        <v>4.2857142857142856</v>
      </c>
      <c r="O31" s="18" t="str" cm="1">
        <f t="array" ref="O31">_xlfn.IFS(NIVEL_2[[#This Row],[Pase de Nivel 4,7 ptos]]="-","-",NIVEL_2[[#This Row],[Pase de Nivel 4,7 ptos]]&gt;=4.7,"CAMBIA A NIVEL 3",NIVEL_2[[#This Row],[Pase de Nivel 4,7 ptos]]&lt;=4.7,"-")</f>
        <v>-</v>
      </c>
    </row>
    <row r="32" spans="1:15" x14ac:dyDescent="0.3">
      <c r="A32" s="1">
        <f>MONTH(NIVEL_2[[#This Row],[Fecha de Evaluación]])</f>
        <v>4</v>
      </c>
      <c r="B32" s="12" t="str">
        <f>IF(NIVEL_2[[#This Row],['#]]&gt;0,"NIVEL 2","")</f>
        <v>NIVEL 2</v>
      </c>
      <c r="C32" s="12" t="str">
        <f>TEXT(NIVEL_2[[#This Row],[Fecha de Evaluación]],"MMMM")</f>
        <v>abril</v>
      </c>
      <c r="D32" s="3">
        <v>46142</v>
      </c>
      <c r="E32" s="20" t="s">
        <v>72</v>
      </c>
      <c r="F32" s="1">
        <v>1073817245</v>
      </c>
      <c r="G32" s="1">
        <v>5</v>
      </c>
      <c r="H32" s="1">
        <v>4</v>
      </c>
      <c r="I32" s="1">
        <v>2</v>
      </c>
      <c r="J32" s="1">
        <v>4</v>
      </c>
      <c r="K32" s="1">
        <v>2</v>
      </c>
      <c r="L32" s="1">
        <v>5</v>
      </c>
      <c r="M32" s="1">
        <v>2</v>
      </c>
      <c r="N32" s="19">
        <f>IFERROR(AVERAGE('NIVEL 2'!G32:M32),"-")</f>
        <v>3.4285714285714284</v>
      </c>
      <c r="O32" s="18" t="str" cm="1">
        <f t="array" ref="O32">_xlfn.IFS(NIVEL_2[[#This Row],[Pase de Nivel 4,7 ptos]]="-","-",NIVEL_2[[#This Row],[Pase de Nivel 4,7 ptos]]&gt;=4.7,"CAMBIA A NIVEL 3",NIVEL_2[[#This Row],[Pase de Nivel 4,7 ptos]]&lt;=4.7,"-")</f>
        <v>-</v>
      </c>
    </row>
    <row r="33" spans="1:15" x14ac:dyDescent="0.3">
      <c r="A33" s="1">
        <f>MONTH(NIVEL_2[[#This Row],[Fecha de Evaluación]])</f>
        <v>4</v>
      </c>
      <c r="B33" s="12" t="str">
        <f>IF(NIVEL_2[[#This Row],['#]]&gt;0,"NIVEL 2","")</f>
        <v>NIVEL 2</v>
      </c>
      <c r="C33" s="12" t="str">
        <f>TEXT(NIVEL_2[[#This Row],[Fecha de Evaluación]],"MMMM")</f>
        <v>abril</v>
      </c>
      <c r="D33" s="3">
        <v>46142</v>
      </c>
      <c r="E33" s="20" t="s">
        <v>84</v>
      </c>
      <c r="F33" s="1">
        <v>1104267144</v>
      </c>
      <c r="G33" s="1">
        <v>5</v>
      </c>
      <c r="H33" s="1">
        <v>4</v>
      </c>
      <c r="I33" s="1">
        <v>4</v>
      </c>
      <c r="J33" s="1">
        <v>3</v>
      </c>
      <c r="K33" s="1">
        <v>5</v>
      </c>
      <c r="L33" s="1">
        <v>5</v>
      </c>
      <c r="M33" s="1">
        <v>3</v>
      </c>
      <c r="N33" s="19">
        <f>IFERROR(AVERAGE('NIVEL 2'!G33:M33),"-")</f>
        <v>4.1428571428571432</v>
      </c>
      <c r="O33" s="18" t="str" cm="1">
        <f t="array" ref="O33">_xlfn.IFS(NIVEL_2[[#This Row],[Pase de Nivel 4,7 ptos]]="-","-",NIVEL_2[[#This Row],[Pase de Nivel 4,7 ptos]]&gt;=4.7,"CAMBIA A NIVEL 3",NIVEL_2[[#This Row],[Pase de Nivel 4,7 ptos]]&lt;=4.7,"-")</f>
        <v>-</v>
      </c>
    </row>
    <row r="34" spans="1:15" x14ac:dyDescent="0.3">
      <c r="A34" s="1">
        <f>MONTH(NIVEL_2[[#This Row],[Fecha de Evaluación]])</f>
        <v>4</v>
      </c>
      <c r="B34" s="12" t="str">
        <f>IF(NIVEL_2[[#This Row],['#]]&gt;0,"NIVEL 2","")</f>
        <v>NIVEL 2</v>
      </c>
      <c r="C34" s="12" t="str">
        <f>TEXT(NIVEL_2[[#This Row],[Fecha de Evaluación]],"MMMM")</f>
        <v>abril</v>
      </c>
      <c r="D34" s="3">
        <v>46142</v>
      </c>
      <c r="E34" s="20" t="s">
        <v>83</v>
      </c>
      <c r="F34" s="1">
        <v>1138032549</v>
      </c>
      <c r="G34" s="1">
        <v>5</v>
      </c>
      <c r="H34" s="1">
        <v>5</v>
      </c>
      <c r="I34" s="1">
        <v>3</v>
      </c>
      <c r="J34" s="1">
        <v>3</v>
      </c>
      <c r="K34" s="1">
        <v>5</v>
      </c>
      <c r="L34" s="1">
        <v>5</v>
      </c>
      <c r="M34" s="1">
        <v>5</v>
      </c>
      <c r="N34" s="19">
        <f>IFERROR(AVERAGE('NIVEL 2'!G34:M34),"-")</f>
        <v>4.4285714285714288</v>
      </c>
      <c r="O34" s="18" t="str" cm="1">
        <f t="array" ref="O34">_xlfn.IFS(NIVEL_2[[#This Row],[Pase de Nivel 4,7 ptos]]="-","-",NIVEL_2[[#This Row],[Pase de Nivel 4,7 ptos]]&gt;=4.7,"CAMBIA A NIVEL 3",NIVEL_2[[#This Row],[Pase de Nivel 4,7 ptos]]&lt;=4.7,"-")</f>
        <v>-</v>
      </c>
    </row>
    <row r="35" spans="1:15" x14ac:dyDescent="0.3">
      <c r="A35" s="1">
        <f>MONTH(NIVEL_2[[#This Row],[Fecha de Evaluación]])</f>
        <v>4</v>
      </c>
      <c r="B35" s="12" t="str">
        <f>IF(NIVEL_2[[#This Row],['#]]&gt;0,"NIVEL 2","")</f>
        <v>NIVEL 2</v>
      </c>
      <c r="C35" s="12" t="str">
        <f>TEXT(NIVEL_2[[#This Row],[Fecha de Evaluación]],"MMMM")</f>
        <v>abril</v>
      </c>
      <c r="D35" s="3">
        <v>46142</v>
      </c>
      <c r="E35" s="20" t="s">
        <v>73</v>
      </c>
      <c r="F35" s="1">
        <v>1140444971</v>
      </c>
      <c r="G35" s="1">
        <v>5</v>
      </c>
      <c r="H35" s="1">
        <v>5</v>
      </c>
      <c r="I35" s="1">
        <v>4</v>
      </c>
      <c r="J35" s="1">
        <v>4</v>
      </c>
      <c r="K35" s="1">
        <v>3</v>
      </c>
      <c r="L35" s="1">
        <v>5</v>
      </c>
      <c r="M35" s="1">
        <v>3</v>
      </c>
      <c r="N35" s="19">
        <f>IFERROR(AVERAGE('NIVEL 2'!G35:M35),"-")</f>
        <v>4.1428571428571432</v>
      </c>
      <c r="O35" s="18" t="str" cm="1">
        <f t="array" ref="O35">_xlfn.IFS(NIVEL_2[[#This Row],[Pase de Nivel 4,7 ptos]]="-","-",NIVEL_2[[#This Row],[Pase de Nivel 4,7 ptos]]&gt;=4.7,"CAMBIA A NIVEL 3",NIVEL_2[[#This Row],[Pase de Nivel 4,7 ptos]]&lt;=4.7,"-")</f>
        <v>-</v>
      </c>
    </row>
    <row r="36" spans="1:15" x14ac:dyDescent="0.3">
      <c r="A36" s="1">
        <f>MONTH(NIVEL_2[[#This Row],[Fecha de Evaluación]])</f>
        <v>5</v>
      </c>
      <c r="B36" s="12" t="str">
        <f>IF(NIVEL_2[[#This Row],['#]]&gt;0,"NIVEL 2","")</f>
        <v>NIVEL 2</v>
      </c>
      <c r="C36" s="12" t="str">
        <f>TEXT(NIVEL_2[[#This Row],[Fecha de Evaluación]],"MMMM")</f>
        <v>mayo</v>
      </c>
      <c r="D36" s="3">
        <v>46172</v>
      </c>
      <c r="E36" s="20" t="s">
        <v>119</v>
      </c>
      <c r="F36" s="1">
        <v>8203609</v>
      </c>
      <c r="G36" s="1">
        <v>5</v>
      </c>
      <c r="H36" s="1">
        <v>4</v>
      </c>
      <c r="I36" s="1">
        <v>5</v>
      </c>
      <c r="J36" s="1">
        <v>3</v>
      </c>
      <c r="K36" s="1">
        <v>4</v>
      </c>
      <c r="L36" s="1">
        <v>5</v>
      </c>
      <c r="M36" s="1">
        <v>4</v>
      </c>
      <c r="N36" s="19">
        <f>IFERROR(AVERAGE('NIVEL 2'!G36:M36),"-")</f>
        <v>4.2857142857142856</v>
      </c>
      <c r="O36" s="18" t="str" cm="1">
        <f t="array" ref="O36">_xlfn.IFS(NIVEL_2[[#This Row],[Pase de Nivel 4,7 ptos]]="-","-",NIVEL_2[[#This Row],[Pase de Nivel 4,7 ptos]]&gt;=4.7,"CAMBIA A NIVEL 3",NIVEL_2[[#This Row],[Pase de Nivel 4,7 ptos]]&lt;=4.7,"-")</f>
        <v>-</v>
      </c>
    </row>
    <row r="37" spans="1:15" x14ac:dyDescent="0.3">
      <c r="A37" s="1">
        <f>MONTH(NIVEL_2[[#This Row],[Fecha de Evaluación]])</f>
        <v>5</v>
      </c>
      <c r="B37" s="12" t="str">
        <f>IF(NIVEL_2[[#This Row],['#]]&gt;0,"NIVEL 2","")</f>
        <v>NIVEL 2</v>
      </c>
      <c r="C37" s="12" t="str">
        <f>TEXT(NIVEL_2[[#This Row],[Fecha de Evaluación]],"MMMM")</f>
        <v>mayo</v>
      </c>
      <c r="D37" s="3">
        <v>46172</v>
      </c>
      <c r="E37" s="20" t="s">
        <v>144</v>
      </c>
      <c r="F37" s="1">
        <v>1001481017</v>
      </c>
      <c r="G37" s="1">
        <v>4</v>
      </c>
      <c r="H37" s="1">
        <v>3</v>
      </c>
      <c r="I37" s="1">
        <v>2</v>
      </c>
      <c r="J37" s="1">
        <v>3</v>
      </c>
      <c r="K37" s="1">
        <v>4</v>
      </c>
      <c r="L37" s="1">
        <v>4</v>
      </c>
      <c r="M37" s="1">
        <v>2</v>
      </c>
      <c r="N37" s="19">
        <f>IFERROR(AVERAGE('NIVEL 2'!G37:M37),"-")</f>
        <v>3.1428571428571428</v>
      </c>
      <c r="O37" s="18" t="str" cm="1">
        <f t="array" ref="O37">_xlfn.IFS(NIVEL_2[[#This Row],[Pase de Nivel 4,7 ptos]]="-","-",NIVEL_2[[#This Row],[Pase de Nivel 4,7 ptos]]&gt;=4.7,"CAMBIA A NIVEL 3",NIVEL_2[[#This Row],[Pase de Nivel 4,7 ptos]]&lt;=4.7,"-")</f>
        <v>-</v>
      </c>
    </row>
    <row r="38" spans="1:15" x14ac:dyDescent="0.3">
      <c r="A38" s="1">
        <f>MONTH(NIVEL_2[[#This Row],[Fecha de Evaluación]])</f>
        <v>5</v>
      </c>
      <c r="B38" s="12" t="str">
        <f>IF(NIVEL_2[[#This Row],['#]]&gt;0,"NIVEL 2","")</f>
        <v>NIVEL 2</v>
      </c>
      <c r="C38" s="12" t="str">
        <f>TEXT(NIVEL_2[[#This Row],[Fecha de Evaluación]],"MMMM")</f>
        <v>mayo</v>
      </c>
      <c r="D38" s="3">
        <v>46172</v>
      </c>
      <c r="E38" s="20" t="s">
        <v>110</v>
      </c>
      <c r="F38" s="1">
        <v>1003027198</v>
      </c>
      <c r="G38" s="1">
        <v>5</v>
      </c>
      <c r="H38" s="1">
        <v>4</v>
      </c>
      <c r="I38" s="1">
        <v>3</v>
      </c>
      <c r="J38" s="1">
        <v>5</v>
      </c>
      <c r="K38" s="1">
        <v>4</v>
      </c>
      <c r="L38" s="1">
        <v>5</v>
      </c>
      <c r="M38" s="1">
        <v>2</v>
      </c>
      <c r="N38" s="19">
        <f>IFERROR(AVERAGE('NIVEL 2'!G38:M38),"-")</f>
        <v>4</v>
      </c>
      <c r="O38" s="18" t="str" cm="1">
        <f t="array" ref="O38">_xlfn.IFS(NIVEL_2[[#This Row],[Pase de Nivel 4,7 ptos]]="-","-",NIVEL_2[[#This Row],[Pase de Nivel 4,7 ptos]]&gt;=4.7,"CAMBIA A NIVEL 3",NIVEL_2[[#This Row],[Pase de Nivel 4,7 ptos]]&lt;=4.7,"-")</f>
        <v>-</v>
      </c>
    </row>
    <row r="39" spans="1:15" x14ac:dyDescent="0.3">
      <c r="A39" s="1">
        <f>MONTH(NIVEL_2[[#This Row],[Fecha de Evaluación]])</f>
        <v>5</v>
      </c>
      <c r="B39" s="12" t="str">
        <f>IF(NIVEL_2[[#This Row],['#]]&gt;0,"NIVEL 2","")</f>
        <v>NIVEL 2</v>
      </c>
      <c r="C39" s="12" t="str">
        <f>TEXT(NIVEL_2[[#This Row],[Fecha de Evaluación]],"MMMM")</f>
        <v>mayo</v>
      </c>
      <c r="D39" s="3">
        <v>46172</v>
      </c>
      <c r="E39" s="20" t="s">
        <v>118</v>
      </c>
      <c r="F39" s="1">
        <v>1003435656</v>
      </c>
      <c r="G39" s="1">
        <v>4</v>
      </c>
      <c r="H39" s="1">
        <v>4</v>
      </c>
      <c r="I39" s="1">
        <v>3</v>
      </c>
      <c r="J39" s="1">
        <v>3</v>
      </c>
      <c r="K39" s="1">
        <v>3</v>
      </c>
      <c r="L39" s="1">
        <v>5</v>
      </c>
      <c r="M39" s="1">
        <v>2</v>
      </c>
      <c r="N39" s="19">
        <f>IFERROR(AVERAGE('NIVEL 2'!G39:M39),"-")</f>
        <v>3.4285714285714284</v>
      </c>
      <c r="O39" s="18" t="str" cm="1">
        <f t="array" ref="O39">_xlfn.IFS(NIVEL_2[[#This Row],[Pase de Nivel 4,7 ptos]]="-","-",NIVEL_2[[#This Row],[Pase de Nivel 4,7 ptos]]&gt;=4.7,"CAMBIA A NIVEL 3",NIVEL_2[[#This Row],[Pase de Nivel 4,7 ptos]]&lt;=4.7,"-")</f>
        <v>-</v>
      </c>
    </row>
    <row r="40" spans="1:15" x14ac:dyDescent="0.3">
      <c r="A40" s="1">
        <f>MONTH(NIVEL_2[[#This Row],[Fecha de Evaluación]])</f>
        <v>5</v>
      </c>
      <c r="B40" s="12" t="str">
        <f>IF(NIVEL_2[[#This Row],['#]]&gt;0,"NIVEL 2","")</f>
        <v>NIVEL 2</v>
      </c>
      <c r="C40" s="12" t="str">
        <f>TEXT(NIVEL_2[[#This Row],[Fecha de Evaluación]],"MMMM")</f>
        <v>mayo</v>
      </c>
      <c r="D40" s="3">
        <v>46172</v>
      </c>
      <c r="E40" s="20" t="s">
        <v>82</v>
      </c>
      <c r="F40" s="1">
        <v>1027663882</v>
      </c>
      <c r="G40" s="1">
        <v>5</v>
      </c>
      <c r="H40" s="1">
        <v>4</v>
      </c>
      <c r="I40" s="1">
        <v>5</v>
      </c>
      <c r="J40" s="1">
        <v>4</v>
      </c>
      <c r="K40" s="1">
        <v>4</v>
      </c>
      <c r="L40" s="1">
        <v>5</v>
      </c>
      <c r="M40" s="1">
        <v>4</v>
      </c>
      <c r="N40" s="19">
        <f>IFERROR(AVERAGE('NIVEL 2'!G40:M40),"-")</f>
        <v>4.4285714285714288</v>
      </c>
      <c r="O40" s="18" t="str" cm="1">
        <f t="array" ref="O40">_xlfn.IFS(NIVEL_2[[#This Row],[Pase de Nivel 4,7 ptos]]="-","-",NIVEL_2[[#This Row],[Pase de Nivel 4,7 ptos]]&gt;=4.7,"CAMBIA A NIVEL 3",NIVEL_2[[#This Row],[Pase de Nivel 4,7 ptos]]&lt;=4.7,"-")</f>
        <v>-</v>
      </c>
    </row>
    <row r="41" spans="1:15" x14ac:dyDescent="0.3">
      <c r="A41" s="1">
        <f>MONTH(NIVEL_2[[#This Row],[Fecha de Evaluación]])</f>
        <v>5</v>
      </c>
      <c r="B41" s="12" t="str">
        <f>IF(NIVEL_2[[#This Row],['#]]&gt;0,"NIVEL 2","")</f>
        <v>NIVEL 2</v>
      </c>
      <c r="C41" s="12" t="str">
        <f>TEXT(NIVEL_2[[#This Row],[Fecha de Evaluación]],"MMMM")</f>
        <v>mayo</v>
      </c>
      <c r="D41" s="3">
        <v>46172</v>
      </c>
      <c r="E41" s="20" t="s">
        <v>145</v>
      </c>
      <c r="F41" s="1">
        <v>1029722943</v>
      </c>
      <c r="G41" s="1">
        <v>5</v>
      </c>
      <c r="H41" s="1">
        <v>4</v>
      </c>
      <c r="I41" s="1">
        <v>4</v>
      </c>
      <c r="J41" s="1">
        <v>4</v>
      </c>
      <c r="K41" s="1">
        <v>4</v>
      </c>
      <c r="L41" s="1">
        <v>5</v>
      </c>
      <c r="M41" s="1">
        <v>5</v>
      </c>
      <c r="N41" s="19">
        <f>IFERROR(AVERAGE('NIVEL 2'!G41:M41),"-")</f>
        <v>4.4285714285714288</v>
      </c>
      <c r="O41" s="18" t="str" cm="1">
        <f t="array" ref="O41">_xlfn.IFS(NIVEL_2[[#This Row],[Pase de Nivel 4,7 ptos]]="-","-",NIVEL_2[[#This Row],[Pase de Nivel 4,7 ptos]]&gt;=4.7,"CAMBIA A NIVEL 3",NIVEL_2[[#This Row],[Pase de Nivel 4,7 ptos]]&lt;=4.7,"-")</f>
        <v>-</v>
      </c>
    </row>
    <row r="42" spans="1:15" x14ac:dyDescent="0.3">
      <c r="A42" s="1">
        <f>MONTH(NIVEL_2[[#This Row],[Fecha de Evaluación]])</f>
        <v>5</v>
      </c>
      <c r="B42" s="12" t="str">
        <f>IF(NIVEL_2[[#This Row],['#]]&gt;0,"NIVEL 2","")</f>
        <v>NIVEL 2</v>
      </c>
      <c r="C42" s="12" t="str">
        <f>TEXT(NIVEL_2[[#This Row],[Fecha de Evaluación]],"MMMM")</f>
        <v>mayo</v>
      </c>
      <c r="D42" s="3">
        <v>46172</v>
      </c>
      <c r="E42" s="20" t="s">
        <v>100</v>
      </c>
      <c r="F42" s="1">
        <v>1062444411</v>
      </c>
      <c r="G42" s="1">
        <v>5</v>
      </c>
      <c r="H42" s="1">
        <v>5</v>
      </c>
      <c r="I42" s="1">
        <v>2</v>
      </c>
      <c r="J42" s="1">
        <v>4</v>
      </c>
      <c r="K42" s="1">
        <v>4</v>
      </c>
      <c r="L42" s="1">
        <v>5</v>
      </c>
      <c r="M42" s="1">
        <v>2</v>
      </c>
      <c r="N42" s="19">
        <f>IFERROR(AVERAGE('NIVEL 2'!G42:M42),"-")</f>
        <v>3.8571428571428572</v>
      </c>
      <c r="O42" s="18" t="str" cm="1">
        <f t="array" ref="O42">_xlfn.IFS(NIVEL_2[[#This Row],[Pase de Nivel 4,7 ptos]]="-","-",NIVEL_2[[#This Row],[Pase de Nivel 4,7 ptos]]&gt;=4.7,"CAMBIA A NIVEL 3",NIVEL_2[[#This Row],[Pase de Nivel 4,7 ptos]]&lt;=4.7,"-")</f>
        <v>-</v>
      </c>
    </row>
    <row r="43" spans="1:15" x14ac:dyDescent="0.3">
      <c r="A43" s="1">
        <f>MONTH(NIVEL_2[[#This Row],[Fecha de Evaluación]])</f>
        <v>5</v>
      </c>
      <c r="B43" s="12" t="str">
        <f>IF(NIVEL_2[[#This Row],['#]]&gt;0,"NIVEL 2","")</f>
        <v>NIVEL 2</v>
      </c>
      <c r="C43" s="12" t="str">
        <f>TEXT(NIVEL_2[[#This Row],[Fecha de Evaluación]],"MMMM")</f>
        <v>mayo</v>
      </c>
      <c r="D43" s="3">
        <v>46172</v>
      </c>
      <c r="E43" s="20" t="s">
        <v>99</v>
      </c>
      <c r="F43" s="1">
        <v>1062544508</v>
      </c>
      <c r="G43" s="1">
        <v>4</v>
      </c>
      <c r="H43" s="1">
        <v>4</v>
      </c>
      <c r="I43" s="1">
        <v>2</v>
      </c>
      <c r="J43" s="1">
        <v>3</v>
      </c>
      <c r="K43" s="1">
        <v>3</v>
      </c>
      <c r="L43" s="1">
        <v>3</v>
      </c>
      <c r="M43" s="1">
        <v>2</v>
      </c>
      <c r="N43" s="19">
        <f>IFERROR(AVERAGE('NIVEL 2'!G43:M43),"-")</f>
        <v>3</v>
      </c>
      <c r="O43" s="18" t="str" cm="1">
        <f t="array" ref="O43">_xlfn.IFS(NIVEL_2[[#This Row],[Pase de Nivel 4,7 ptos]]="-","-",NIVEL_2[[#This Row],[Pase de Nivel 4,7 ptos]]&gt;=4.7,"CAMBIA A NIVEL 3",NIVEL_2[[#This Row],[Pase de Nivel 4,7 ptos]]&lt;=4.7,"-")</f>
        <v>-</v>
      </c>
    </row>
    <row r="44" spans="1:15" x14ac:dyDescent="0.3">
      <c r="A44" s="1">
        <f>MONTH(NIVEL_2[[#This Row],[Fecha de Evaluación]])</f>
        <v>5</v>
      </c>
      <c r="B44" s="12" t="str">
        <f>IF(NIVEL_2[[#This Row],['#]]&gt;0,"NIVEL 2","")</f>
        <v>NIVEL 2</v>
      </c>
      <c r="C44" s="12" t="str">
        <f>TEXT(NIVEL_2[[#This Row],[Fecha de Evaluación]],"MMMM")</f>
        <v>mayo</v>
      </c>
      <c r="D44" s="3">
        <v>46172</v>
      </c>
      <c r="E44" s="20" t="s">
        <v>111</v>
      </c>
      <c r="F44" s="1">
        <v>1062980565</v>
      </c>
      <c r="G44" s="1">
        <v>5</v>
      </c>
      <c r="H44" s="1">
        <v>5</v>
      </c>
      <c r="I44" s="1">
        <v>4</v>
      </c>
      <c r="J44" s="1">
        <v>5</v>
      </c>
      <c r="K44" s="1">
        <v>4</v>
      </c>
      <c r="L44" s="1">
        <v>5</v>
      </c>
      <c r="M44" s="1">
        <v>5</v>
      </c>
      <c r="N44" s="19">
        <f>IFERROR(AVERAGE('NIVEL 2'!G44:M44),"-")</f>
        <v>4.7142857142857144</v>
      </c>
      <c r="O44" s="18" t="str" cm="1">
        <f t="array" ref="O44">_xlfn.IFS(NIVEL_2[[#This Row],[Pase de Nivel 4,7 ptos]]="-","-",NIVEL_2[[#This Row],[Pase de Nivel 4,7 ptos]]&gt;=4.7,"CAMBIA A NIVEL 3",NIVEL_2[[#This Row],[Pase de Nivel 4,7 ptos]]&lt;=4.7,"-")</f>
        <v>CAMBIA A NIVEL 3</v>
      </c>
    </row>
    <row r="45" spans="1:15" x14ac:dyDescent="0.3">
      <c r="A45" s="1">
        <f>MONTH(NIVEL_2[[#This Row],[Fecha de Evaluación]])</f>
        <v>5</v>
      </c>
      <c r="B45" s="12" t="str">
        <f>IF(NIVEL_2[[#This Row],['#]]&gt;0,"NIVEL 2","")</f>
        <v>NIVEL 2</v>
      </c>
      <c r="C45" s="12" t="str">
        <f>TEXT(NIVEL_2[[#This Row],[Fecha de Evaluación]],"MMMM")</f>
        <v>mayo</v>
      </c>
      <c r="D45" s="3">
        <v>46172</v>
      </c>
      <c r="E45" s="20" t="s">
        <v>81</v>
      </c>
      <c r="F45" s="1">
        <v>1062981643</v>
      </c>
      <c r="G45" s="1">
        <v>4</v>
      </c>
      <c r="H45" s="1">
        <v>5</v>
      </c>
      <c r="I45" s="1">
        <v>2</v>
      </c>
      <c r="J45" s="1">
        <v>3</v>
      </c>
      <c r="K45" s="1">
        <v>3</v>
      </c>
      <c r="L45" s="1">
        <v>4</v>
      </c>
      <c r="M45" s="1">
        <v>3</v>
      </c>
      <c r="N45" s="19">
        <f>IFERROR(AVERAGE('NIVEL 2'!G45:M45),"-")</f>
        <v>3.4285714285714284</v>
      </c>
      <c r="O45" s="18" t="str" cm="1">
        <f t="array" ref="O45">_xlfn.IFS(NIVEL_2[[#This Row],[Pase de Nivel 4,7 ptos]]="-","-",NIVEL_2[[#This Row],[Pase de Nivel 4,7 ptos]]&gt;=4.7,"CAMBIA A NIVEL 3",NIVEL_2[[#This Row],[Pase de Nivel 4,7 ptos]]&lt;=4.7,"-")</f>
        <v>-</v>
      </c>
    </row>
    <row r="46" spans="1:15" x14ac:dyDescent="0.3">
      <c r="A46" s="1">
        <f>MONTH(NIVEL_2[[#This Row],[Fecha de Evaluación]])</f>
        <v>5</v>
      </c>
      <c r="B46" s="12" t="str">
        <f>IF(NIVEL_2[[#This Row],['#]]&gt;0,"NIVEL 2","")</f>
        <v>NIVEL 2</v>
      </c>
      <c r="C46" s="12" t="str">
        <f>TEXT(NIVEL_2[[#This Row],[Fecha de Evaluación]],"MMMM")</f>
        <v>mayo</v>
      </c>
      <c r="D46" s="3">
        <v>46172</v>
      </c>
      <c r="E46" s="20" t="s">
        <v>65</v>
      </c>
      <c r="F46" s="1">
        <v>1067859838</v>
      </c>
      <c r="G46" s="1">
        <v>4</v>
      </c>
      <c r="H46" s="1">
        <v>4</v>
      </c>
      <c r="I46" s="1">
        <v>4</v>
      </c>
      <c r="J46" s="1">
        <v>4</v>
      </c>
      <c r="K46" s="1">
        <v>4</v>
      </c>
      <c r="L46" s="1">
        <v>5</v>
      </c>
      <c r="M46" s="1">
        <v>1</v>
      </c>
      <c r="N46" s="19">
        <f>IFERROR(AVERAGE('NIVEL 2'!G46:M46),"-")</f>
        <v>3.7142857142857144</v>
      </c>
      <c r="O46" s="18" t="str" cm="1">
        <f t="array" ref="O46">_xlfn.IFS(NIVEL_2[[#This Row],[Pase de Nivel 4,7 ptos]]="-","-",NIVEL_2[[#This Row],[Pase de Nivel 4,7 ptos]]&gt;=4.7,"CAMBIA A NIVEL 3",NIVEL_2[[#This Row],[Pase de Nivel 4,7 ptos]]&lt;=4.7,"-")</f>
        <v>-</v>
      </c>
    </row>
    <row r="47" spans="1:15" x14ac:dyDescent="0.3">
      <c r="A47" s="1">
        <f>MONTH(NIVEL_2[[#This Row],[Fecha de Evaluación]])</f>
        <v>5</v>
      </c>
      <c r="B47" s="12" t="str">
        <f>IF(NIVEL_2[[#This Row],['#]]&gt;0,"NIVEL 2","")</f>
        <v>NIVEL 2</v>
      </c>
      <c r="C47" s="12" t="str">
        <f>TEXT(NIVEL_2[[#This Row],[Fecha de Evaluación]],"MMMM")</f>
        <v>mayo</v>
      </c>
      <c r="D47" s="3">
        <v>46172</v>
      </c>
      <c r="E47" s="20" t="s">
        <v>67</v>
      </c>
      <c r="F47" s="1">
        <v>1067945529</v>
      </c>
      <c r="G47" s="1">
        <v>4</v>
      </c>
      <c r="H47" s="1">
        <v>4</v>
      </c>
      <c r="I47" s="1">
        <v>4</v>
      </c>
      <c r="J47" s="1">
        <v>4</v>
      </c>
      <c r="K47" s="1">
        <v>4</v>
      </c>
      <c r="L47" s="1">
        <v>4</v>
      </c>
      <c r="M47" s="1">
        <v>1</v>
      </c>
      <c r="N47" s="19">
        <f>IFERROR(AVERAGE('NIVEL 2'!G47:M47),"-")</f>
        <v>3.5714285714285716</v>
      </c>
      <c r="O47" s="18" t="str" cm="1">
        <f t="array" ref="O47">_xlfn.IFS(NIVEL_2[[#This Row],[Pase de Nivel 4,7 ptos]]="-","-",NIVEL_2[[#This Row],[Pase de Nivel 4,7 ptos]]&gt;=4.7,"CAMBIA A NIVEL 3",NIVEL_2[[#This Row],[Pase de Nivel 4,7 ptos]]&lt;=4.7,"-")</f>
        <v>-</v>
      </c>
    </row>
    <row r="48" spans="1:15" x14ac:dyDescent="0.3">
      <c r="A48" s="1">
        <f>MONTH(NIVEL_2[[#This Row],[Fecha de Evaluación]])</f>
        <v>5</v>
      </c>
      <c r="B48" s="12" t="str">
        <f>IF(NIVEL_2[[#This Row],['#]]&gt;0,"NIVEL 2","")</f>
        <v>NIVEL 2</v>
      </c>
      <c r="C48" s="12" t="str">
        <f>TEXT(NIVEL_2[[#This Row],[Fecha de Evaluación]],"MMMM")</f>
        <v>mayo</v>
      </c>
      <c r="D48" s="3">
        <v>46172</v>
      </c>
      <c r="E48" s="20" t="s">
        <v>146</v>
      </c>
      <c r="F48" s="1">
        <v>1067955099</v>
      </c>
      <c r="G48" s="1">
        <v>5</v>
      </c>
      <c r="H48" s="1">
        <v>5</v>
      </c>
      <c r="I48" s="1">
        <v>3</v>
      </c>
      <c r="J48" s="1">
        <v>4</v>
      </c>
      <c r="K48" s="1">
        <v>4</v>
      </c>
      <c r="L48" s="1">
        <v>5</v>
      </c>
      <c r="M48" s="1">
        <v>3</v>
      </c>
      <c r="N48" s="19">
        <f>IFERROR(AVERAGE('NIVEL 2'!G48:M48),"-")</f>
        <v>4.1428571428571432</v>
      </c>
      <c r="O48" s="18" t="str" cm="1">
        <f t="array" ref="O48">_xlfn.IFS(NIVEL_2[[#This Row],[Pase de Nivel 4,7 ptos]]="-","-",NIVEL_2[[#This Row],[Pase de Nivel 4,7 ptos]]&gt;=4.7,"CAMBIA A NIVEL 3",NIVEL_2[[#This Row],[Pase de Nivel 4,7 ptos]]&lt;=4.7,"-")</f>
        <v>-</v>
      </c>
    </row>
    <row r="49" spans="1:15" x14ac:dyDescent="0.3">
      <c r="A49" s="1">
        <f>MONTH(NIVEL_2[[#This Row],[Fecha de Evaluación]])</f>
        <v>5</v>
      </c>
      <c r="B49" s="12" t="str">
        <f>IF(NIVEL_2[[#This Row],['#]]&gt;0,"NIVEL 2","")</f>
        <v>NIVEL 2</v>
      </c>
      <c r="C49" s="12" t="str">
        <f>TEXT(NIVEL_2[[#This Row],[Fecha de Evaluación]],"MMMM")</f>
        <v>mayo</v>
      </c>
      <c r="D49" s="3">
        <v>46172</v>
      </c>
      <c r="E49" s="20" t="s">
        <v>71</v>
      </c>
      <c r="F49" s="1">
        <v>1067956606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9">
        <f>IFERROR(AVERAGE('NIVEL 2'!G49:M49),"-")</f>
        <v>0</v>
      </c>
      <c r="O49" s="18" t="str" cm="1">
        <f t="array" ref="O49">_xlfn.IFS(NIVEL_2[[#This Row],[Pase de Nivel 4,7 ptos]]="-","-",NIVEL_2[[#This Row],[Pase de Nivel 4,7 ptos]]&gt;=4.7,"CAMBIA A NIVEL 3",NIVEL_2[[#This Row],[Pase de Nivel 4,7 ptos]]&lt;=4.7,"-")</f>
        <v>-</v>
      </c>
    </row>
    <row r="50" spans="1:15" x14ac:dyDescent="0.3">
      <c r="A50" s="1">
        <f>MONTH(NIVEL_2[[#This Row],[Fecha de Evaluación]])</f>
        <v>5</v>
      </c>
      <c r="B50" s="12" t="str">
        <f>IF(NIVEL_2[[#This Row],['#]]&gt;0,"NIVEL 2","")</f>
        <v>NIVEL 2</v>
      </c>
      <c r="C50" s="12" t="str">
        <f>TEXT(NIVEL_2[[#This Row],[Fecha de Evaluación]],"MMMM")</f>
        <v>mayo</v>
      </c>
      <c r="D50" s="3">
        <v>46172</v>
      </c>
      <c r="E50" s="20" t="s">
        <v>113</v>
      </c>
      <c r="F50" s="1">
        <v>1068439668</v>
      </c>
      <c r="G50" s="1">
        <v>5</v>
      </c>
      <c r="H50" s="1">
        <v>5</v>
      </c>
      <c r="I50" s="1">
        <v>4</v>
      </c>
      <c r="J50" s="1">
        <v>5</v>
      </c>
      <c r="K50" s="1">
        <v>4</v>
      </c>
      <c r="L50" s="1">
        <v>5</v>
      </c>
      <c r="M50" s="1">
        <v>5</v>
      </c>
      <c r="N50" s="19">
        <f>IFERROR(AVERAGE('NIVEL 2'!G50:M50),"-")</f>
        <v>4.7142857142857144</v>
      </c>
      <c r="O50" s="18" t="str" cm="1">
        <f t="array" ref="O50">_xlfn.IFS(NIVEL_2[[#This Row],[Pase de Nivel 4,7 ptos]]="-","-",NIVEL_2[[#This Row],[Pase de Nivel 4,7 ptos]]&gt;=4.7,"CAMBIA A NIVEL 3",NIVEL_2[[#This Row],[Pase de Nivel 4,7 ptos]]&lt;=4.7,"-")</f>
        <v>CAMBIA A NIVEL 3</v>
      </c>
    </row>
    <row r="51" spans="1:15" x14ac:dyDescent="0.3">
      <c r="A51" s="1">
        <f>MONTH(NIVEL_2[[#This Row],[Fecha de Evaluación]])</f>
        <v>5</v>
      </c>
      <c r="B51" s="12" t="str">
        <f>IF(NIVEL_2[[#This Row],['#]]&gt;0,"NIVEL 2","")</f>
        <v>NIVEL 2</v>
      </c>
      <c r="C51" s="12" t="str">
        <f>TEXT(NIVEL_2[[#This Row],[Fecha de Evaluación]],"MMMM")</f>
        <v>mayo</v>
      </c>
      <c r="D51" s="3">
        <v>46172</v>
      </c>
      <c r="E51" s="20" t="s">
        <v>72</v>
      </c>
      <c r="F51" s="1">
        <v>1073817245</v>
      </c>
      <c r="G51" s="1">
        <v>5</v>
      </c>
      <c r="H51" s="1">
        <v>4</v>
      </c>
      <c r="I51" s="1">
        <v>2</v>
      </c>
      <c r="J51" s="1">
        <v>4</v>
      </c>
      <c r="K51" s="1">
        <v>3</v>
      </c>
      <c r="L51" s="1">
        <v>5</v>
      </c>
      <c r="M51" s="1">
        <v>2</v>
      </c>
      <c r="N51" s="19">
        <f>IFERROR(AVERAGE('NIVEL 2'!G51:M51),"-")</f>
        <v>3.5714285714285716</v>
      </c>
      <c r="O51" s="18" t="str" cm="1">
        <f t="array" ref="O51">_xlfn.IFS(NIVEL_2[[#This Row],[Pase de Nivel 4,7 ptos]]="-","-",NIVEL_2[[#This Row],[Pase de Nivel 4,7 ptos]]&gt;=4.7,"CAMBIA A NIVEL 3",NIVEL_2[[#This Row],[Pase de Nivel 4,7 ptos]]&lt;=4.7,"-")</f>
        <v>-</v>
      </c>
    </row>
    <row r="52" spans="1:15" x14ac:dyDescent="0.3">
      <c r="A52" s="1">
        <f>MONTH(NIVEL_2[[#This Row],[Fecha de Evaluación]])</f>
        <v>5</v>
      </c>
      <c r="B52" s="12" t="str">
        <f>IF(NIVEL_2[[#This Row],['#]]&gt;0,"NIVEL 2","")</f>
        <v>NIVEL 2</v>
      </c>
      <c r="C52" s="12" t="str">
        <f>TEXT(NIVEL_2[[#This Row],[Fecha de Evaluación]],"MMMM")</f>
        <v>mayo</v>
      </c>
      <c r="D52" s="3">
        <v>46172</v>
      </c>
      <c r="E52" s="20" t="s">
        <v>103</v>
      </c>
      <c r="F52" s="1">
        <v>1137975856</v>
      </c>
      <c r="G52" s="1">
        <v>4</v>
      </c>
      <c r="H52" s="1">
        <v>4</v>
      </c>
      <c r="I52" s="1">
        <v>4</v>
      </c>
      <c r="J52" s="1">
        <v>5</v>
      </c>
      <c r="K52" s="1">
        <v>4</v>
      </c>
      <c r="L52" s="1">
        <v>5</v>
      </c>
      <c r="M52" s="1">
        <v>4</v>
      </c>
      <c r="N52" s="19">
        <f>IFERROR(AVERAGE('NIVEL 2'!G52:M52),"-")</f>
        <v>4.2857142857142856</v>
      </c>
      <c r="O52" s="18" t="str" cm="1">
        <f t="array" ref="O52">_xlfn.IFS(NIVEL_2[[#This Row],[Pase de Nivel 4,7 ptos]]="-","-",NIVEL_2[[#This Row],[Pase de Nivel 4,7 ptos]]&gt;=4.7,"CAMBIA A NIVEL 3",NIVEL_2[[#This Row],[Pase de Nivel 4,7 ptos]]&lt;=4.7,"-")</f>
        <v>-</v>
      </c>
    </row>
    <row r="53" spans="1:15" x14ac:dyDescent="0.3">
      <c r="A53" s="1">
        <f>MONTH(NIVEL_2[[#This Row],[Fecha de Evaluación]])</f>
        <v>5</v>
      </c>
      <c r="B53" s="12" t="str">
        <f>IF(NIVEL_2[[#This Row],['#]]&gt;0,"NIVEL 2","")</f>
        <v>NIVEL 2</v>
      </c>
      <c r="C53" s="12" t="str">
        <f>TEXT(NIVEL_2[[#This Row],[Fecha de Evaluación]],"MMMM")</f>
        <v>mayo</v>
      </c>
      <c r="D53" s="3">
        <v>46172</v>
      </c>
      <c r="E53" s="20" t="s">
        <v>148</v>
      </c>
      <c r="F53" s="1">
        <v>1138032406</v>
      </c>
      <c r="G53" s="1">
        <v>5</v>
      </c>
      <c r="H53" s="1">
        <v>5</v>
      </c>
      <c r="I53" s="1">
        <v>3</v>
      </c>
      <c r="J53" s="1">
        <v>4</v>
      </c>
      <c r="K53" s="1">
        <v>3</v>
      </c>
      <c r="L53" s="1">
        <v>5</v>
      </c>
      <c r="M53" s="1">
        <v>2</v>
      </c>
      <c r="N53" s="19">
        <f>IFERROR(AVERAGE('NIVEL 2'!G53:M53),"-")</f>
        <v>3.8571428571428572</v>
      </c>
      <c r="O53" s="18" t="str" cm="1">
        <f t="array" ref="O53">_xlfn.IFS(NIVEL_2[[#This Row],[Pase de Nivel 4,7 ptos]]="-","-",NIVEL_2[[#This Row],[Pase de Nivel 4,7 ptos]]&gt;=4.7,"CAMBIA A NIVEL 3",NIVEL_2[[#This Row],[Pase de Nivel 4,7 ptos]]&lt;=4.7,"-")</f>
        <v>-</v>
      </c>
    </row>
    <row r="54" spans="1:15" x14ac:dyDescent="0.3">
      <c r="A54" s="1">
        <f>MONTH(NIVEL_2[[#This Row],[Fecha de Evaluación]])</f>
        <v>5</v>
      </c>
      <c r="B54" s="12" t="str">
        <f>IF(NIVEL_2[[#This Row],['#]]&gt;0,"NIVEL 2","")</f>
        <v>NIVEL 2</v>
      </c>
      <c r="C54" s="12" t="str">
        <f>TEXT(NIVEL_2[[#This Row],[Fecha de Evaluación]],"MMMM")</f>
        <v>mayo</v>
      </c>
      <c r="D54" s="3">
        <v>46172</v>
      </c>
      <c r="E54" s="20" t="s">
        <v>147</v>
      </c>
      <c r="F54" s="1">
        <v>1138032417</v>
      </c>
      <c r="G54" s="1">
        <v>5</v>
      </c>
      <c r="H54" s="1">
        <v>4</v>
      </c>
      <c r="I54" s="1">
        <v>4</v>
      </c>
      <c r="J54" s="1">
        <v>4</v>
      </c>
      <c r="K54" s="1">
        <v>3</v>
      </c>
      <c r="L54" s="1">
        <v>5</v>
      </c>
      <c r="M54" s="1">
        <v>4</v>
      </c>
      <c r="N54" s="19">
        <f>IFERROR(AVERAGE('NIVEL 2'!G54:M54),"-")</f>
        <v>4.1428571428571432</v>
      </c>
      <c r="O54" s="18" t="str" cm="1">
        <f t="array" ref="O54">_xlfn.IFS(NIVEL_2[[#This Row],[Pase de Nivel 4,7 ptos]]="-","-",NIVEL_2[[#This Row],[Pase de Nivel 4,7 ptos]]&gt;=4.7,"CAMBIA A NIVEL 3",NIVEL_2[[#This Row],[Pase de Nivel 4,7 ptos]]&lt;=4.7,"-")</f>
        <v>-</v>
      </c>
    </row>
    <row r="55" spans="1:15" x14ac:dyDescent="0.3">
      <c r="A55" s="1">
        <f>MONTH(NIVEL_2[[#This Row],[Fecha de Evaluación]])</f>
        <v>5</v>
      </c>
      <c r="B55" s="12" t="str">
        <f>IF(NIVEL_2[[#This Row],['#]]&gt;0,"NIVEL 2","")</f>
        <v>NIVEL 2</v>
      </c>
      <c r="C55" s="12" t="str">
        <f>TEXT(NIVEL_2[[#This Row],[Fecha de Evaluación]],"MMMM")</f>
        <v>mayo</v>
      </c>
      <c r="D55" s="3">
        <v>46172</v>
      </c>
      <c r="E55" s="20" t="s">
        <v>83</v>
      </c>
      <c r="F55" s="1">
        <v>1138032549</v>
      </c>
      <c r="G55" s="1">
        <v>5</v>
      </c>
      <c r="H55" s="1">
        <v>5</v>
      </c>
      <c r="I55" s="1">
        <v>3</v>
      </c>
      <c r="J55" s="1">
        <v>4</v>
      </c>
      <c r="K55" s="1">
        <v>5</v>
      </c>
      <c r="L55" s="1">
        <v>5</v>
      </c>
      <c r="M55" s="1">
        <v>5</v>
      </c>
      <c r="N55" s="19">
        <f>IFERROR(AVERAGE('NIVEL 2'!G55:M55),"-")</f>
        <v>4.5714285714285712</v>
      </c>
      <c r="O55" s="18" t="str" cm="1">
        <f t="array" ref="O55">_xlfn.IFS(NIVEL_2[[#This Row],[Pase de Nivel 4,7 ptos]]="-","-",NIVEL_2[[#This Row],[Pase de Nivel 4,7 ptos]]&gt;=4.7,"CAMBIA A NIVEL 3",NIVEL_2[[#This Row],[Pase de Nivel 4,7 ptos]]&lt;=4.7,"-")</f>
        <v>-</v>
      </c>
    </row>
    <row r="56" spans="1:15" x14ac:dyDescent="0.3">
      <c r="A56" s="1">
        <f>MONTH(NIVEL_2[[#This Row],[Fecha de Evaluación]])</f>
        <v>5</v>
      </c>
      <c r="B56" s="12" t="str">
        <f>IF(NIVEL_2[[#This Row],['#]]&gt;0,"NIVEL 2","")</f>
        <v>NIVEL 2</v>
      </c>
      <c r="C56" s="12" t="str">
        <f>TEXT(NIVEL_2[[#This Row],[Fecha de Evaluación]],"MMMM")</f>
        <v>mayo</v>
      </c>
      <c r="D56" s="3">
        <v>46172</v>
      </c>
      <c r="E56" s="20" t="s">
        <v>73</v>
      </c>
      <c r="F56" s="1">
        <v>1140444971</v>
      </c>
      <c r="G56" s="1">
        <v>5</v>
      </c>
      <c r="H56" s="1">
        <v>5</v>
      </c>
      <c r="I56" s="1">
        <v>4</v>
      </c>
      <c r="J56" s="1">
        <v>5</v>
      </c>
      <c r="K56" s="1">
        <v>3</v>
      </c>
      <c r="L56" s="1">
        <v>5</v>
      </c>
      <c r="M56" s="1">
        <v>2</v>
      </c>
      <c r="N56" s="19">
        <f>IFERROR(AVERAGE('NIVEL 2'!G56:M56),"-")</f>
        <v>4.1428571428571432</v>
      </c>
      <c r="O56" s="18" t="str" cm="1">
        <f t="array" ref="O56">_xlfn.IFS(NIVEL_2[[#This Row],[Pase de Nivel 4,7 ptos]]="-","-",NIVEL_2[[#This Row],[Pase de Nivel 4,7 ptos]]&gt;=4.7,"CAMBIA A NIVEL 3",NIVEL_2[[#This Row],[Pase de Nivel 4,7 ptos]]&lt;=4.7,"-")</f>
        <v>-</v>
      </c>
    </row>
    <row r="57" spans="1:15" x14ac:dyDescent="0.3">
      <c r="A57" s="1">
        <f>MONTH(NIVEL_2[[#This Row],[Fecha de Evaluación]])</f>
        <v>6</v>
      </c>
      <c r="B57" s="12" t="str">
        <f>IF(NIVEL_2[[#This Row],['#]]&gt;0,"NIVEL 2","")</f>
        <v>NIVEL 2</v>
      </c>
      <c r="C57" s="12" t="str">
        <f>TEXT(NIVEL_2[[#This Row],[Fecha de Evaluación]],"MMMM")</f>
        <v>junio</v>
      </c>
      <c r="D57" s="3">
        <v>46199</v>
      </c>
      <c r="E57" s="20" t="s">
        <v>119</v>
      </c>
      <c r="F57" s="1">
        <v>8203609</v>
      </c>
      <c r="G57" s="1">
        <v>5</v>
      </c>
      <c r="H57" s="1">
        <v>4</v>
      </c>
      <c r="I57" s="1">
        <v>5</v>
      </c>
      <c r="J57" s="1">
        <v>3</v>
      </c>
      <c r="K57" s="1">
        <v>4</v>
      </c>
      <c r="L57" s="1">
        <v>5</v>
      </c>
      <c r="M57" s="1">
        <v>4</v>
      </c>
      <c r="N57" s="19">
        <f>IFERROR(AVERAGE('NIVEL 2'!G57:M57),"-")</f>
        <v>4.2857142857142856</v>
      </c>
      <c r="O57" s="18" t="str" cm="1">
        <f t="array" ref="O57">_xlfn.IFS(NIVEL_2[[#This Row],[Pase de Nivel 4,7 ptos]]="-","-",NIVEL_2[[#This Row],[Pase de Nivel 4,7 ptos]]&gt;=4.7,"CAMBIA A NIVEL 3",NIVEL_2[[#This Row],[Pase de Nivel 4,7 ptos]]&lt;=4.7,"-")</f>
        <v>-</v>
      </c>
    </row>
    <row r="58" spans="1:15" x14ac:dyDescent="0.3">
      <c r="A58" s="1">
        <f>MONTH(NIVEL_2[[#This Row],[Fecha de Evaluación]])</f>
        <v>6</v>
      </c>
      <c r="B58" s="12" t="str">
        <f>IF(NIVEL_2[[#This Row],['#]]&gt;0,"NIVEL 2","")</f>
        <v>NIVEL 2</v>
      </c>
      <c r="C58" s="12" t="str">
        <f>TEXT(NIVEL_2[[#This Row],[Fecha de Evaluación]],"MMMM")</f>
        <v>junio</v>
      </c>
      <c r="D58" s="3">
        <v>46199</v>
      </c>
      <c r="E58" s="20" t="s">
        <v>82</v>
      </c>
      <c r="F58" s="1">
        <v>1027663882</v>
      </c>
      <c r="G58" s="1">
        <v>5</v>
      </c>
      <c r="H58" s="1">
        <v>5</v>
      </c>
      <c r="I58" s="1">
        <v>5</v>
      </c>
      <c r="J58" s="1">
        <v>4</v>
      </c>
      <c r="K58" s="1">
        <v>4</v>
      </c>
      <c r="L58" s="1">
        <v>5</v>
      </c>
      <c r="M58" s="1">
        <v>5</v>
      </c>
      <c r="N58" s="19">
        <f>IFERROR(AVERAGE('NIVEL 2'!G58:M58),"-")</f>
        <v>4.7142857142857144</v>
      </c>
      <c r="O58" s="18" t="str" cm="1">
        <f t="array" ref="O58">_xlfn.IFS(NIVEL_2[[#This Row],[Pase de Nivel 4,7 ptos]]="-","-",NIVEL_2[[#This Row],[Pase de Nivel 4,7 ptos]]&gt;=4.7,"CAMBIA A NIVEL 3",NIVEL_2[[#This Row],[Pase de Nivel 4,7 ptos]]&lt;=4.7,"-")</f>
        <v>CAMBIA A NIVEL 3</v>
      </c>
    </row>
    <row r="59" spans="1:15" x14ac:dyDescent="0.3">
      <c r="A59" s="1">
        <f>MONTH(NIVEL_2[[#This Row],[Fecha de Evaluación]])</f>
        <v>6</v>
      </c>
      <c r="B59" s="12" t="str">
        <f>IF(NIVEL_2[[#This Row],['#]]&gt;0,"NIVEL 2","")</f>
        <v>NIVEL 2</v>
      </c>
      <c r="C59" s="12" t="str">
        <f>TEXT(NIVEL_2[[#This Row],[Fecha de Evaluación]],"MMMM")</f>
        <v>junio</v>
      </c>
      <c r="D59" s="3">
        <v>46199</v>
      </c>
      <c r="E59" s="20" t="s">
        <v>127</v>
      </c>
      <c r="F59" s="1">
        <v>1062438398</v>
      </c>
      <c r="G59" s="1">
        <v>4</v>
      </c>
      <c r="H59" s="1">
        <v>4</v>
      </c>
      <c r="I59" s="1">
        <v>3</v>
      </c>
      <c r="J59" s="1">
        <v>3</v>
      </c>
      <c r="K59" s="1">
        <v>2</v>
      </c>
      <c r="L59" s="1">
        <v>4</v>
      </c>
      <c r="M59" s="1">
        <v>2</v>
      </c>
      <c r="N59" s="19">
        <f>IFERROR(AVERAGE('NIVEL 2'!G59:M59),"-")</f>
        <v>3.1428571428571428</v>
      </c>
      <c r="O59" s="18" t="str" cm="1">
        <f t="array" ref="O59">_xlfn.IFS(NIVEL_2[[#This Row],[Pase de Nivel 4,7 ptos]]="-","-",NIVEL_2[[#This Row],[Pase de Nivel 4,7 ptos]]&gt;=4.7,"CAMBIA A NIVEL 3",NIVEL_2[[#This Row],[Pase de Nivel 4,7 ptos]]&lt;=4.7,"-")</f>
        <v>-</v>
      </c>
    </row>
    <row r="60" spans="1:15" x14ac:dyDescent="0.3">
      <c r="A60" s="1">
        <f>MONTH(NIVEL_2[[#This Row],[Fecha de Evaluación]])</f>
        <v>6</v>
      </c>
      <c r="B60" s="12" t="str">
        <f>IF(NIVEL_2[[#This Row],['#]]&gt;0,"NIVEL 2","")</f>
        <v>NIVEL 2</v>
      </c>
      <c r="C60" s="12" t="str">
        <f>TEXT(NIVEL_2[[#This Row],[Fecha de Evaluación]],"MMMM")</f>
        <v>junio</v>
      </c>
      <c r="D60" s="3">
        <v>46199</v>
      </c>
      <c r="E60" s="20" t="s">
        <v>81</v>
      </c>
      <c r="F60" s="1">
        <v>1062981643</v>
      </c>
      <c r="G60" s="1">
        <v>5</v>
      </c>
      <c r="H60" s="1">
        <v>5</v>
      </c>
      <c r="I60" s="1">
        <v>2</v>
      </c>
      <c r="J60" s="1">
        <v>3</v>
      </c>
      <c r="K60" s="1">
        <v>3</v>
      </c>
      <c r="L60" s="1">
        <v>5</v>
      </c>
      <c r="M60" s="1">
        <v>3</v>
      </c>
      <c r="N60" s="19">
        <f>IFERROR(AVERAGE('NIVEL 2'!G60:M60),"-")</f>
        <v>3.7142857142857144</v>
      </c>
      <c r="O60" s="18" t="str" cm="1">
        <f t="array" ref="O60">_xlfn.IFS(NIVEL_2[[#This Row],[Pase de Nivel 4,7 ptos]]="-","-",NIVEL_2[[#This Row],[Pase de Nivel 4,7 ptos]]&gt;=4.7,"CAMBIA A NIVEL 3",NIVEL_2[[#This Row],[Pase de Nivel 4,7 ptos]]&lt;=4.7,"-")</f>
        <v>-</v>
      </c>
    </row>
    <row r="61" spans="1:15" x14ac:dyDescent="0.3">
      <c r="A61" s="1">
        <f>MONTH(NIVEL_2[[#This Row],[Fecha de Evaluación]])</f>
        <v>6</v>
      </c>
      <c r="B61" s="12" t="str">
        <f>IF(NIVEL_2[[#This Row],['#]]&gt;0,"NIVEL 2","")</f>
        <v>NIVEL 2</v>
      </c>
      <c r="C61" s="12" t="str">
        <f>TEXT(NIVEL_2[[#This Row],[Fecha de Evaluación]],"MMMM")</f>
        <v>junio</v>
      </c>
      <c r="D61" s="3">
        <v>46199</v>
      </c>
      <c r="E61" s="20" t="s">
        <v>65</v>
      </c>
      <c r="F61" s="1">
        <v>1067859838</v>
      </c>
      <c r="G61" s="1">
        <v>4</v>
      </c>
      <c r="H61" s="1">
        <v>4</v>
      </c>
      <c r="I61" s="1">
        <v>4</v>
      </c>
      <c r="J61" s="1">
        <v>4</v>
      </c>
      <c r="K61" s="1">
        <v>4</v>
      </c>
      <c r="L61" s="1">
        <v>5</v>
      </c>
      <c r="M61" s="1">
        <v>1</v>
      </c>
      <c r="N61" s="19">
        <f>IFERROR(AVERAGE('NIVEL 2'!G61:M61),"-")</f>
        <v>3.7142857142857144</v>
      </c>
      <c r="O61" s="18" t="str" cm="1">
        <f t="array" ref="O61">_xlfn.IFS(NIVEL_2[[#This Row],[Pase de Nivel 4,7 ptos]]="-","-",NIVEL_2[[#This Row],[Pase de Nivel 4,7 ptos]]&gt;=4.7,"CAMBIA A NIVEL 3",NIVEL_2[[#This Row],[Pase de Nivel 4,7 ptos]]&lt;=4.7,"-")</f>
        <v>-</v>
      </c>
    </row>
    <row r="62" spans="1:15" x14ac:dyDescent="0.3">
      <c r="A62" s="1">
        <f>MONTH(NIVEL_2[[#This Row],[Fecha de Evaluación]])</f>
        <v>6</v>
      </c>
      <c r="B62" s="12" t="str">
        <f>IF(NIVEL_2[[#This Row],['#]]&gt;0,"NIVEL 2","")</f>
        <v>NIVEL 2</v>
      </c>
      <c r="C62" s="12" t="str">
        <f>TEXT(NIVEL_2[[#This Row],[Fecha de Evaluación]],"MMMM")</f>
        <v>junio</v>
      </c>
      <c r="D62" s="3">
        <v>46199</v>
      </c>
      <c r="E62" s="20" t="s">
        <v>67</v>
      </c>
      <c r="F62" s="1">
        <v>1067945529</v>
      </c>
      <c r="G62" s="1">
        <v>4</v>
      </c>
      <c r="H62" s="1">
        <v>4</v>
      </c>
      <c r="I62" s="1">
        <v>3</v>
      </c>
      <c r="J62" s="1">
        <v>4</v>
      </c>
      <c r="K62" s="1">
        <v>4</v>
      </c>
      <c r="L62" s="1">
        <v>4</v>
      </c>
      <c r="M62" s="1">
        <v>1</v>
      </c>
      <c r="N62" s="19">
        <f>IFERROR(AVERAGE('NIVEL 2'!G62:M62),"-")</f>
        <v>3.4285714285714284</v>
      </c>
      <c r="O62" s="18" t="str" cm="1">
        <f t="array" ref="O62">_xlfn.IFS(NIVEL_2[[#This Row],[Pase de Nivel 4,7 ptos]]="-","-",NIVEL_2[[#This Row],[Pase de Nivel 4,7 ptos]]&gt;=4.7,"CAMBIA A NIVEL 3",NIVEL_2[[#This Row],[Pase de Nivel 4,7 ptos]]&lt;=4.7,"-")</f>
        <v>-</v>
      </c>
    </row>
    <row r="63" spans="1:15" x14ac:dyDescent="0.3">
      <c r="A63" s="1">
        <f>MONTH(NIVEL_2[[#This Row],[Fecha de Evaluación]])</f>
        <v>6</v>
      </c>
      <c r="B63" s="12" t="str">
        <f>IF(NIVEL_2[[#This Row],['#]]&gt;0,"NIVEL 2","")</f>
        <v>NIVEL 2</v>
      </c>
      <c r="C63" s="12" t="str">
        <f>TEXT(NIVEL_2[[#This Row],[Fecha de Evaluación]],"MMMM")</f>
        <v>junio</v>
      </c>
      <c r="D63" s="3">
        <v>46199</v>
      </c>
      <c r="E63" s="20" t="s">
        <v>72</v>
      </c>
      <c r="F63" s="1">
        <v>1073817245</v>
      </c>
      <c r="G63" s="1">
        <v>5</v>
      </c>
      <c r="H63" s="1">
        <v>5</v>
      </c>
      <c r="I63" s="1">
        <v>3</v>
      </c>
      <c r="J63" s="1">
        <v>4</v>
      </c>
      <c r="K63" s="1">
        <v>3</v>
      </c>
      <c r="L63" s="1">
        <v>5</v>
      </c>
      <c r="M63" s="1">
        <v>2</v>
      </c>
      <c r="N63" s="19">
        <f>IFERROR(AVERAGE('NIVEL 2'!G63:M63),"-")</f>
        <v>3.8571428571428572</v>
      </c>
      <c r="O63" s="18" t="str" cm="1">
        <f t="array" ref="O63">_xlfn.IFS(NIVEL_2[[#This Row],[Pase de Nivel 4,7 ptos]]="-","-",NIVEL_2[[#This Row],[Pase de Nivel 4,7 ptos]]&gt;=4.7,"CAMBIA A NIVEL 3",NIVEL_2[[#This Row],[Pase de Nivel 4,7 ptos]]&lt;=4.7,"-")</f>
        <v>-</v>
      </c>
    </row>
    <row r="64" spans="1:15" x14ac:dyDescent="0.3">
      <c r="A64" s="1">
        <f>MONTH(NIVEL_2[[#This Row],[Fecha de Evaluación]])</f>
        <v>6</v>
      </c>
      <c r="B64" s="12" t="str">
        <f>IF(NIVEL_2[[#This Row],['#]]&gt;0,"NIVEL 2","")</f>
        <v>NIVEL 2</v>
      </c>
      <c r="C64" s="12" t="str">
        <f>TEXT(NIVEL_2[[#This Row],[Fecha de Evaluación]],"MMMM")</f>
        <v>junio</v>
      </c>
      <c r="D64" s="3">
        <v>46199</v>
      </c>
      <c r="E64" s="20" t="s">
        <v>103</v>
      </c>
      <c r="F64" s="1">
        <v>1137975856</v>
      </c>
      <c r="G64" s="1">
        <v>4</v>
      </c>
      <c r="H64" s="1">
        <v>4</v>
      </c>
      <c r="I64" s="1">
        <v>4</v>
      </c>
      <c r="J64" s="1">
        <v>4</v>
      </c>
      <c r="K64" s="1">
        <v>4</v>
      </c>
      <c r="L64" s="1">
        <v>5</v>
      </c>
      <c r="M64" s="1">
        <v>4</v>
      </c>
      <c r="N64" s="19">
        <f>IFERROR(AVERAGE('NIVEL 2'!G64:M64),"-")</f>
        <v>4.1428571428571432</v>
      </c>
      <c r="O64" s="18" t="str" cm="1">
        <f t="array" ref="O64">_xlfn.IFS(NIVEL_2[[#This Row],[Pase de Nivel 4,7 ptos]]="-","-",NIVEL_2[[#This Row],[Pase de Nivel 4,7 ptos]]&gt;=4.7,"CAMBIA A NIVEL 3",NIVEL_2[[#This Row],[Pase de Nivel 4,7 ptos]]&lt;=4.7,"-")</f>
        <v>-</v>
      </c>
    </row>
    <row r="65" spans="1:15" x14ac:dyDescent="0.3">
      <c r="A65" s="1">
        <f>MONTH(NIVEL_2[[#This Row],[Fecha de Evaluación]])</f>
        <v>6</v>
      </c>
      <c r="B65" s="12" t="str">
        <f>IF(NIVEL_2[[#This Row],['#]]&gt;0,"NIVEL 2","")</f>
        <v>NIVEL 2</v>
      </c>
      <c r="C65" s="12" t="str">
        <f>TEXT(NIVEL_2[[#This Row],[Fecha de Evaluación]],"MMMM")</f>
        <v>junio</v>
      </c>
      <c r="D65" s="3">
        <v>46199</v>
      </c>
      <c r="E65" s="20" t="s">
        <v>83</v>
      </c>
      <c r="F65" s="1">
        <v>1138032549</v>
      </c>
      <c r="G65" s="1">
        <v>5</v>
      </c>
      <c r="H65" s="1">
        <v>5</v>
      </c>
      <c r="I65" s="1">
        <v>5</v>
      </c>
      <c r="J65" s="1">
        <v>4</v>
      </c>
      <c r="K65" s="1">
        <v>4</v>
      </c>
      <c r="L65" s="1">
        <v>5</v>
      </c>
      <c r="M65" s="1">
        <v>5</v>
      </c>
      <c r="N65" s="19">
        <f>IFERROR(AVERAGE('NIVEL 2'!G65:M65),"-")</f>
        <v>4.7142857142857144</v>
      </c>
      <c r="O65" s="18" t="str" cm="1">
        <f t="array" ref="O65">_xlfn.IFS(NIVEL_2[[#This Row],[Pase de Nivel 4,7 ptos]]="-","-",NIVEL_2[[#This Row],[Pase de Nivel 4,7 ptos]]&gt;=4.7,"CAMBIA A NIVEL 3",NIVEL_2[[#This Row],[Pase de Nivel 4,7 ptos]]&lt;=4.7,"-")</f>
        <v>CAMBIA A NIVEL 3</v>
      </c>
    </row>
    <row r="66" spans="1:15" x14ac:dyDescent="0.3">
      <c r="A66" s="1">
        <f>MONTH(NIVEL_2[[#This Row],[Fecha de Evaluación]])</f>
        <v>6</v>
      </c>
      <c r="B66" s="12" t="str">
        <f>IF(NIVEL_2[[#This Row],['#]]&gt;0,"NIVEL 2","")</f>
        <v>NIVEL 2</v>
      </c>
      <c r="C66" s="12" t="str">
        <f>TEXT(NIVEL_2[[#This Row],[Fecha de Evaluación]],"MMMM")</f>
        <v>junio</v>
      </c>
      <c r="D66" s="3">
        <v>46199</v>
      </c>
      <c r="E66" s="20" t="s">
        <v>73</v>
      </c>
      <c r="F66" s="1">
        <v>1140444971</v>
      </c>
      <c r="G66" s="1">
        <v>5</v>
      </c>
      <c r="H66" s="1">
        <v>5</v>
      </c>
      <c r="I66" s="1">
        <v>5</v>
      </c>
      <c r="J66" s="1">
        <v>5</v>
      </c>
      <c r="K66" s="1">
        <v>4</v>
      </c>
      <c r="L66" s="1">
        <v>5</v>
      </c>
      <c r="M66" s="1">
        <v>4</v>
      </c>
      <c r="N66" s="19">
        <f>IFERROR(AVERAGE('NIVEL 2'!G66:M66),"-")</f>
        <v>4.7142857142857144</v>
      </c>
      <c r="O66" s="18" t="str" cm="1">
        <f t="array" ref="O66">_xlfn.IFS(NIVEL_2[[#This Row],[Pase de Nivel 4,7 ptos]]="-","-",NIVEL_2[[#This Row],[Pase de Nivel 4,7 ptos]]&gt;=4.7,"CAMBIA A NIVEL 3",NIVEL_2[[#This Row],[Pase de Nivel 4,7 ptos]]&lt;=4.7,"-")</f>
        <v>CAMBIA A NIVEL 3</v>
      </c>
    </row>
    <row r="67" spans="1:15" x14ac:dyDescent="0.3">
      <c r="A67" s="45">
        <f>MONTH(NIVEL_2[[#This Row],[Fecha de Evaluación]])</f>
        <v>7</v>
      </c>
      <c r="B67" s="47" t="str">
        <f>IF(NIVEL_2[[#This Row],['#]]&gt;0,"NIVEL 2","")</f>
        <v>NIVEL 2</v>
      </c>
      <c r="C67" s="47" t="str">
        <f>TEXT(NIVEL_2[[#This Row],[Fecha de Evaluación]],"MMMM")</f>
        <v>julio</v>
      </c>
      <c r="D67" s="42">
        <v>46233</v>
      </c>
      <c r="E67" s="43" t="s">
        <v>119</v>
      </c>
      <c r="F67" s="45">
        <v>8203609</v>
      </c>
      <c r="G67" s="45">
        <v>5</v>
      </c>
      <c r="H67" s="45">
        <v>4</v>
      </c>
      <c r="I67" s="45">
        <v>5</v>
      </c>
      <c r="J67" s="45">
        <v>3</v>
      </c>
      <c r="K67" s="45">
        <v>4</v>
      </c>
      <c r="L67" s="45">
        <v>5</v>
      </c>
      <c r="M67" s="45">
        <v>5</v>
      </c>
      <c r="N67" s="19">
        <f>IFERROR(AVERAGE('NIVEL 2'!G67:M67),"-")</f>
        <v>4.4285714285714288</v>
      </c>
      <c r="O67" s="48" t="str" cm="1">
        <f t="array" ref="O67">_xlfn.IFS(NIVEL_2[[#This Row],[Pase de Nivel 4,7 ptos]]="-","-",NIVEL_2[[#This Row],[Pase de Nivel 4,7 ptos]]&gt;=4.7,"CAMBIA A NIVEL 3",NIVEL_2[[#This Row],[Pase de Nivel 4,7 ptos]]&lt;=4.7,"-")</f>
        <v>-</v>
      </c>
    </row>
    <row r="68" spans="1:15" x14ac:dyDescent="0.3">
      <c r="A68" s="45">
        <f>MONTH(NIVEL_2[[#This Row],[Fecha de Evaluación]])</f>
        <v>7</v>
      </c>
      <c r="B68" s="47" t="str">
        <f>IF(NIVEL_2[[#This Row],['#]]&gt;0,"NIVEL 2","")</f>
        <v>NIVEL 2</v>
      </c>
      <c r="C68" s="47" t="str">
        <f>TEXT(NIVEL_2[[#This Row],[Fecha de Evaluación]],"MMMM")</f>
        <v>julio</v>
      </c>
      <c r="D68" s="42">
        <v>46233</v>
      </c>
      <c r="E68" s="43" t="s">
        <v>150</v>
      </c>
      <c r="F68" s="45">
        <v>1001897545</v>
      </c>
      <c r="G68" s="45">
        <v>5</v>
      </c>
      <c r="H68" s="45">
        <v>4</v>
      </c>
      <c r="I68" s="45">
        <v>3</v>
      </c>
      <c r="J68" s="45">
        <v>4</v>
      </c>
      <c r="K68" s="45">
        <v>4</v>
      </c>
      <c r="L68" s="45">
        <v>5</v>
      </c>
      <c r="M68" s="45">
        <v>3</v>
      </c>
      <c r="N68" s="19">
        <f>IFERROR(AVERAGE('NIVEL 2'!G68:M68),"-")</f>
        <v>4</v>
      </c>
      <c r="O68" s="48" t="str" cm="1">
        <f t="array" ref="O68">_xlfn.IFS(NIVEL_2[[#This Row],[Pase de Nivel 4,7 ptos]]="-","-",NIVEL_2[[#This Row],[Pase de Nivel 4,7 ptos]]&gt;=4.7,"CAMBIA A NIVEL 3",NIVEL_2[[#This Row],[Pase de Nivel 4,7 ptos]]&lt;=4.7,"-")</f>
        <v>-</v>
      </c>
    </row>
    <row r="69" spans="1:15" x14ac:dyDescent="0.3">
      <c r="A69" s="45">
        <f>MONTH(NIVEL_2[[#This Row],[Fecha de Evaluación]])</f>
        <v>7</v>
      </c>
      <c r="B69" s="47" t="str">
        <f>IF(NIVEL_2[[#This Row],['#]]&gt;0,"NIVEL 2","")</f>
        <v>NIVEL 2</v>
      </c>
      <c r="C69" s="47" t="str">
        <f>TEXT(NIVEL_2[[#This Row],[Fecha de Evaluación]],"MMMM")</f>
        <v>julio</v>
      </c>
      <c r="D69" s="42">
        <v>46233</v>
      </c>
      <c r="E69" s="43" t="s">
        <v>145</v>
      </c>
      <c r="F69" s="45">
        <v>1029722943</v>
      </c>
      <c r="G69" s="45">
        <v>5</v>
      </c>
      <c r="H69" s="45">
        <v>4</v>
      </c>
      <c r="I69" s="45">
        <v>3</v>
      </c>
      <c r="J69" s="45">
        <v>4</v>
      </c>
      <c r="K69" s="45">
        <v>4</v>
      </c>
      <c r="L69" s="45">
        <v>5</v>
      </c>
      <c r="M69" s="45">
        <v>5</v>
      </c>
      <c r="N69" s="19">
        <f>IFERROR(AVERAGE('NIVEL 2'!G69:M69),"-")</f>
        <v>4.2857142857142856</v>
      </c>
      <c r="O69" s="48" t="str" cm="1">
        <f t="array" ref="O69">_xlfn.IFS(NIVEL_2[[#This Row],[Pase de Nivel 4,7 ptos]]="-","-",NIVEL_2[[#This Row],[Pase de Nivel 4,7 ptos]]&gt;=4.7,"CAMBIA A NIVEL 3",NIVEL_2[[#This Row],[Pase de Nivel 4,7 ptos]]&lt;=4.7,"-")</f>
        <v>-</v>
      </c>
    </row>
    <row r="70" spans="1:15" x14ac:dyDescent="0.3">
      <c r="A70" s="45">
        <f>MONTH(NIVEL_2[[#This Row],[Fecha de Evaluación]])</f>
        <v>7</v>
      </c>
      <c r="B70" s="47" t="str">
        <f>IF(NIVEL_2[[#This Row],['#]]&gt;0,"NIVEL 2","")</f>
        <v>NIVEL 2</v>
      </c>
      <c r="C70" s="47" t="str">
        <f>TEXT(NIVEL_2[[#This Row],[Fecha de Evaluación]],"MMMM")</f>
        <v>julio</v>
      </c>
      <c r="D70" s="42">
        <v>46233</v>
      </c>
      <c r="E70" s="43" t="s">
        <v>99</v>
      </c>
      <c r="F70" s="45">
        <v>1062544508</v>
      </c>
      <c r="G70" s="45">
        <v>4</v>
      </c>
      <c r="H70" s="45">
        <v>4</v>
      </c>
      <c r="I70" s="45">
        <v>2</v>
      </c>
      <c r="J70" s="45">
        <v>3</v>
      </c>
      <c r="K70" s="45">
        <v>3</v>
      </c>
      <c r="L70" s="45">
        <v>3</v>
      </c>
      <c r="M70" s="45">
        <v>2</v>
      </c>
      <c r="N70" s="19">
        <f>IFERROR(AVERAGE('NIVEL 2'!G70:M70),"-")</f>
        <v>3</v>
      </c>
      <c r="O70" s="48" t="str" cm="1">
        <f t="array" ref="O70">_xlfn.IFS(NIVEL_2[[#This Row],[Pase de Nivel 4,7 ptos]]="-","-",NIVEL_2[[#This Row],[Pase de Nivel 4,7 ptos]]&gt;=4.7,"CAMBIA A NIVEL 3",NIVEL_2[[#This Row],[Pase de Nivel 4,7 ptos]]&lt;=4.7,"-")</f>
        <v>-</v>
      </c>
    </row>
    <row r="71" spans="1:15" x14ac:dyDescent="0.3">
      <c r="A71" s="45">
        <f>MONTH(NIVEL_2[[#This Row],[Fecha de Evaluación]])</f>
        <v>7</v>
      </c>
      <c r="B71" s="47" t="str">
        <f>IF(NIVEL_2[[#This Row],['#]]&gt;0,"NIVEL 2","")</f>
        <v>NIVEL 2</v>
      </c>
      <c r="C71" s="47" t="str">
        <f>TEXT(NIVEL_2[[#This Row],[Fecha de Evaluación]],"MMMM")</f>
        <v>julio</v>
      </c>
      <c r="D71" s="42">
        <v>46233</v>
      </c>
      <c r="E71" s="43" t="s">
        <v>81</v>
      </c>
      <c r="F71" s="45">
        <v>1062981643</v>
      </c>
      <c r="G71" s="45">
        <v>5</v>
      </c>
      <c r="H71" s="45">
        <v>5</v>
      </c>
      <c r="I71" s="45">
        <v>3</v>
      </c>
      <c r="J71" s="45">
        <v>4</v>
      </c>
      <c r="K71" s="45">
        <v>3</v>
      </c>
      <c r="L71" s="45">
        <v>5</v>
      </c>
      <c r="M71" s="45">
        <v>3</v>
      </c>
      <c r="N71" s="19">
        <f>IFERROR(AVERAGE('NIVEL 2'!G71:M71),"-")</f>
        <v>4</v>
      </c>
      <c r="O71" s="48" t="str" cm="1">
        <f t="array" ref="O71">_xlfn.IFS(NIVEL_2[[#This Row],[Pase de Nivel 4,7 ptos]]="-","-",NIVEL_2[[#This Row],[Pase de Nivel 4,7 ptos]]&gt;=4.7,"CAMBIA A NIVEL 3",NIVEL_2[[#This Row],[Pase de Nivel 4,7 ptos]]&lt;=4.7,"-")</f>
        <v>-</v>
      </c>
    </row>
    <row r="72" spans="1:15" x14ac:dyDescent="0.3">
      <c r="A72" s="45">
        <f>MONTH(NIVEL_2[[#This Row],[Fecha de Evaluación]])</f>
        <v>7</v>
      </c>
      <c r="B72" s="47" t="str">
        <f>IF(NIVEL_2[[#This Row],['#]]&gt;0,"NIVEL 2","")</f>
        <v>NIVEL 2</v>
      </c>
      <c r="C72" s="47" t="str">
        <f>TEXT(NIVEL_2[[#This Row],[Fecha de Evaluación]],"MMMM")</f>
        <v>julio</v>
      </c>
      <c r="D72" s="42">
        <v>46233</v>
      </c>
      <c r="E72" s="43" t="s">
        <v>149</v>
      </c>
      <c r="F72" s="45">
        <v>1065443120</v>
      </c>
      <c r="G72" s="45">
        <v>4</v>
      </c>
      <c r="H72" s="45">
        <v>4</v>
      </c>
      <c r="I72" s="45">
        <v>2</v>
      </c>
      <c r="J72" s="45">
        <v>3</v>
      </c>
      <c r="K72" s="45">
        <v>3</v>
      </c>
      <c r="L72" s="45">
        <v>4</v>
      </c>
      <c r="M72" s="45">
        <v>2</v>
      </c>
      <c r="N72" s="19">
        <f>IFERROR(AVERAGE('NIVEL 2'!G72:M72),"-")</f>
        <v>3.1428571428571428</v>
      </c>
      <c r="O72" s="48" t="str" cm="1">
        <f t="array" ref="O72">_xlfn.IFS(NIVEL_2[[#This Row],[Pase de Nivel 4,7 ptos]]="-","-",NIVEL_2[[#This Row],[Pase de Nivel 4,7 ptos]]&gt;=4.7,"CAMBIA A NIVEL 3",NIVEL_2[[#This Row],[Pase de Nivel 4,7 ptos]]&lt;=4.7,"-")</f>
        <v>-</v>
      </c>
    </row>
    <row r="73" spans="1:15" x14ac:dyDescent="0.3">
      <c r="A73" s="45">
        <f>MONTH(NIVEL_2[[#This Row],[Fecha de Evaluación]])</f>
        <v>7</v>
      </c>
      <c r="B73" s="47" t="str">
        <f>IF(NIVEL_2[[#This Row],['#]]&gt;0,"NIVEL 2","")</f>
        <v>NIVEL 2</v>
      </c>
      <c r="C73" s="47" t="str">
        <f>TEXT(NIVEL_2[[#This Row],[Fecha de Evaluación]],"MMMM")</f>
        <v>julio</v>
      </c>
      <c r="D73" s="42">
        <v>46233</v>
      </c>
      <c r="E73" s="43" t="s">
        <v>65</v>
      </c>
      <c r="F73" s="45">
        <v>1067859838</v>
      </c>
      <c r="G73" s="45">
        <v>5</v>
      </c>
      <c r="H73" s="45">
        <v>4</v>
      </c>
      <c r="I73" s="45">
        <v>5</v>
      </c>
      <c r="J73" s="45">
        <v>5</v>
      </c>
      <c r="K73" s="45">
        <v>5</v>
      </c>
      <c r="L73" s="45">
        <v>5</v>
      </c>
      <c r="M73" s="45">
        <v>1</v>
      </c>
      <c r="N73" s="19">
        <f>IFERROR(AVERAGE('NIVEL 2'!G73:M73),"-")</f>
        <v>4.2857142857142856</v>
      </c>
      <c r="O73" s="48" t="str" cm="1">
        <f t="array" ref="O73">_xlfn.IFS(NIVEL_2[[#This Row],[Pase de Nivel 4,7 ptos]]="-","-",NIVEL_2[[#This Row],[Pase de Nivel 4,7 ptos]]&gt;=4.7,"CAMBIA A NIVEL 3",NIVEL_2[[#This Row],[Pase de Nivel 4,7 ptos]]&lt;=4.7,"-")</f>
        <v>-</v>
      </c>
    </row>
    <row r="74" spans="1:15" x14ac:dyDescent="0.3">
      <c r="A74" s="45">
        <f>MONTH(NIVEL_2[[#This Row],[Fecha de Evaluación]])</f>
        <v>7</v>
      </c>
      <c r="B74" s="47" t="str">
        <f>IF(NIVEL_2[[#This Row],['#]]&gt;0,"NIVEL 2","")</f>
        <v>NIVEL 2</v>
      </c>
      <c r="C74" s="47" t="str">
        <f>TEXT(NIVEL_2[[#This Row],[Fecha de Evaluación]],"MMMM")</f>
        <v>julio</v>
      </c>
      <c r="D74" s="42">
        <v>46233</v>
      </c>
      <c r="E74" s="43" t="s">
        <v>67</v>
      </c>
      <c r="F74" s="45">
        <v>1067945529</v>
      </c>
      <c r="G74" s="45">
        <v>5</v>
      </c>
      <c r="H74" s="45">
        <v>4</v>
      </c>
      <c r="I74" s="45">
        <v>4</v>
      </c>
      <c r="J74" s="45">
        <v>5</v>
      </c>
      <c r="K74" s="45">
        <v>5</v>
      </c>
      <c r="L74" s="45">
        <v>5</v>
      </c>
      <c r="M74" s="45">
        <v>1</v>
      </c>
      <c r="N74" s="19">
        <f>IFERROR(AVERAGE('NIVEL 2'!G74:M74),"-")</f>
        <v>4.1428571428571432</v>
      </c>
      <c r="O74" s="48" t="str" cm="1">
        <f t="array" ref="O74">_xlfn.IFS(NIVEL_2[[#This Row],[Pase de Nivel 4,7 ptos]]="-","-",NIVEL_2[[#This Row],[Pase de Nivel 4,7 ptos]]&gt;=4.7,"CAMBIA A NIVEL 3",NIVEL_2[[#This Row],[Pase de Nivel 4,7 ptos]]&lt;=4.7,"-")</f>
        <v>-</v>
      </c>
    </row>
    <row r="75" spans="1:15" x14ac:dyDescent="0.3">
      <c r="A75" s="45">
        <f>MONTH(NIVEL_2[[#This Row],[Fecha de Evaluación]])</f>
        <v>7</v>
      </c>
      <c r="B75" s="47" t="str">
        <f>IF(NIVEL_2[[#This Row],['#]]&gt;0,"NIVEL 2","")</f>
        <v>NIVEL 2</v>
      </c>
      <c r="C75" s="47" t="str">
        <f>TEXT(NIVEL_2[[#This Row],[Fecha de Evaluación]],"MMMM")</f>
        <v>julio</v>
      </c>
      <c r="D75" s="42">
        <v>46233</v>
      </c>
      <c r="E75" s="43" t="s">
        <v>72</v>
      </c>
      <c r="F75" s="45">
        <v>1073817245</v>
      </c>
      <c r="G75" s="45">
        <v>5</v>
      </c>
      <c r="H75" s="45">
        <v>5</v>
      </c>
      <c r="I75" s="45">
        <v>4</v>
      </c>
      <c r="J75" s="45">
        <v>4</v>
      </c>
      <c r="K75" s="45">
        <v>3</v>
      </c>
      <c r="L75" s="45">
        <v>5</v>
      </c>
      <c r="M75" s="45">
        <v>2</v>
      </c>
      <c r="N75" s="19">
        <f>IFERROR(AVERAGE('NIVEL 2'!G75:M75),"-")</f>
        <v>4</v>
      </c>
      <c r="O75" s="48" t="str" cm="1">
        <f t="array" ref="O75">_xlfn.IFS(NIVEL_2[[#This Row],[Pase de Nivel 4,7 ptos]]="-","-",NIVEL_2[[#This Row],[Pase de Nivel 4,7 ptos]]&gt;=4.7,"CAMBIA A NIVEL 3",NIVEL_2[[#This Row],[Pase de Nivel 4,7 ptos]]&lt;=4.7,"-")</f>
        <v>-</v>
      </c>
    </row>
    <row r="76" spans="1:15" x14ac:dyDescent="0.3">
      <c r="A76" s="45">
        <f>MONTH(NIVEL_2[[#This Row],[Fecha de Evaluación]])</f>
        <v>7</v>
      </c>
      <c r="B76" s="47" t="str">
        <f>IF(NIVEL_2[[#This Row],['#]]&gt;0,"NIVEL 2","")</f>
        <v>NIVEL 2</v>
      </c>
      <c r="C76" s="47" t="str">
        <f>TEXT(NIVEL_2[[#This Row],[Fecha de Evaluación]],"MMMM")</f>
        <v>julio</v>
      </c>
      <c r="D76" s="42">
        <v>46234</v>
      </c>
      <c r="E76" s="43" t="s">
        <v>157</v>
      </c>
      <c r="F76" s="45">
        <v>1104382840</v>
      </c>
      <c r="G76" s="45">
        <v>5</v>
      </c>
      <c r="H76" s="45">
        <v>4</v>
      </c>
      <c r="I76" s="45">
        <v>3</v>
      </c>
      <c r="J76" s="45">
        <v>3</v>
      </c>
      <c r="K76" s="45">
        <v>4</v>
      </c>
      <c r="L76" s="45">
        <v>5</v>
      </c>
      <c r="M76" s="45">
        <v>1</v>
      </c>
      <c r="N76" s="19">
        <f>IFERROR(AVERAGE('NIVEL 2'!G76:M76),"-")</f>
        <v>3.5714285714285716</v>
      </c>
      <c r="O76" s="48" t="str" cm="1">
        <f t="array" ref="O76">_xlfn.IFS(NIVEL_2[[#This Row],[Pase de Nivel 4,7 ptos]]="-","-",NIVEL_2[[#This Row],[Pase de Nivel 4,7 ptos]]&gt;=4.7,"CAMBIA A NIVEL 3",NIVEL_2[[#This Row],[Pase de Nivel 4,7 ptos]]&lt;=4.7,"-")</f>
        <v>-</v>
      </c>
    </row>
    <row r="77" spans="1:15" x14ac:dyDescent="0.3">
      <c r="A77" s="45">
        <f>MONTH(NIVEL_2[[#This Row],[Fecha de Evaluación]])</f>
        <v>7</v>
      </c>
      <c r="B77" s="47" t="str">
        <f>IF(NIVEL_2[[#This Row],['#]]&gt;0,"NIVEL 2","")</f>
        <v>NIVEL 2</v>
      </c>
      <c r="C77" s="47" t="str">
        <f>TEXT(NIVEL_2[[#This Row],[Fecha de Evaluación]],"MMMM")</f>
        <v>julio</v>
      </c>
      <c r="D77" s="42">
        <v>46234</v>
      </c>
      <c r="E77" s="43" t="s">
        <v>103</v>
      </c>
      <c r="F77" s="45">
        <v>1137975856</v>
      </c>
      <c r="G77" s="45">
        <v>5</v>
      </c>
      <c r="H77" s="45">
        <v>4</v>
      </c>
      <c r="I77" s="45">
        <v>4</v>
      </c>
      <c r="J77" s="45">
        <v>5</v>
      </c>
      <c r="K77" s="45">
        <v>5</v>
      </c>
      <c r="L77" s="45">
        <v>4</v>
      </c>
      <c r="M77" s="45">
        <v>5</v>
      </c>
      <c r="N77" s="19">
        <f>IFERROR(AVERAGE('NIVEL 2'!G77:M77),"-")</f>
        <v>4.5714285714285712</v>
      </c>
      <c r="O77" s="48" t="str" cm="1">
        <f t="array" ref="O77">_xlfn.IFS(NIVEL_2[[#This Row],[Pase de Nivel 4,7 ptos]]="-","-",NIVEL_2[[#This Row],[Pase de Nivel 4,7 ptos]]&gt;=4.7,"CAMBIA A NIVEL 3",NIVEL_2[[#This Row],[Pase de Nivel 4,7 ptos]]&lt;=4.7,"-")</f>
        <v>-</v>
      </c>
    </row>
    <row r="78" spans="1:15" x14ac:dyDescent="0.3">
      <c r="A78" s="45">
        <f>MONTH(NIVEL_2[[#This Row],[Fecha de Evaluación]])</f>
        <v>7</v>
      </c>
      <c r="B78" s="47" t="str">
        <f>IF(NIVEL_2[[#This Row],['#]]&gt;0,"NIVEL 2","")</f>
        <v>NIVEL 2</v>
      </c>
      <c r="C78" s="47" t="str">
        <f>TEXT(NIVEL_2[[#This Row],[Fecha de Evaluación]],"MMMM")</f>
        <v>julio</v>
      </c>
      <c r="D78" s="42">
        <v>46233</v>
      </c>
      <c r="E78" s="43" t="s">
        <v>148</v>
      </c>
      <c r="F78" s="45">
        <v>1138032406</v>
      </c>
      <c r="G78" s="45">
        <v>5</v>
      </c>
      <c r="H78" s="45">
        <v>5</v>
      </c>
      <c r="I78" s="45">
        <v>5</v>
      </c>
      <c r="J78" s="45">
        <v>4</v>
      </c>
      <c r="K78" s="45">
        <v>3</v>
      </c>
      <c r="L78" s="45">
        <v>5</v>
      </c>
      <c r="M78" s="45">
        <v>2</v>
      </c>
      <c r="N78" s="19">
        <f>IFERROR(AVERAGE('NIVEL 2'!G78:M78),"-")</f>
        <v>4.1428571428571432</v>
      </c>
      <c r="O78" s="48" t="str" cm="1">
        <f t="array" ref="O78">_xlfn.IFS(NIVEL_2[[#This Row],[Pase de Nivel 4,7 ptos]]="-","-",NIVEL_2[[#This Row],[Pase de Nivel 4,7 ptos]]&gt;=4.7,"CAMBIA A NIVEL 3",NIVEL_2[[#This Row],[Pase de Nivel 4,7 ptos]]&lt;=4.7,"-")</f>
        <v>-</v>
      </c>
    </row>
    <row r="79" spans="1:15" x14ac:dyDescent="0.3">
      <c r="A79" s="45">
        <f>MONTH(NIVEL_2[[#This Row],[Fecha de Evaluación]])</f>
        <v>7</v>
      </c>
      <c r="B79" s="47" t="str">
        <f>IF(NIVEL_2[[#This Row],['#]]&gt;0,"NIVEL 2","")</f>
        <v>NIVEL 2</v>
      </c>
      <c r="C79" s="47" t="str">
        <f>TEXT(NIVEL_2[[#This Row],[Fecha de Evaluación]],"MMMM")</f>
        <v>julio</v>
      </c>
      <c r="D79" s="42">
        <v>46233</v>
      </c>
      <c r="E79" s="43" t="s">
        <v>147</v>
      </c>
      <c r="F79" s="45">
        <v>1138032417</v>
      </c>
      <c r="G79" s="45">
        <v>5</v>
      </c>
      <c r="H79" s="45">
        <v>4</v>
      </c>
      <c r="I79" s="45">
        <v>4</v>
      </c>
      <c r="J79" s="45">
        <v>4</v>
      </c>
      <c r="K79" s="45">
        <v>3</v>
      </c>
      <c r="L79" s="45">
        <v>5</v>
      </c>
      <c r="M79" s="45">
        <v>4</v>
      </c>
      <c r="N79" s="19">
        <f>IFERROR(AVERAGE('NIVEL 2'!G79:M79),"-")</f>
        <v>4.1428571428571432</v>
      </c>
      <c r="O79" s="48" t="str" cm="1">
        <f t="array" ref="O79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19"/>
  <sheetViews>
    <sheetView workbookViewId="0">
      <pane ySplit="2" topLeftCell="A3" activePane="bottomLeft" state="frozenSplit"/>
      <selection activeCell="Q154" sqref="Q154"/>
      <selection pane="bottomLeft" activeCell="T15" sqref="T15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>IFERROR(AVERAGE(G5:S5),"-")</f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  <row r="6" spans="1:21" x14ac:dyDescent="0.3">
      <c r="A6" s="36">
        <f>MONTH(NIVEL_3[[#This Row],[Fecha de Evaluación]])</f>
        <v>3</v>
      </c>
      <c r="B6" s="12" t="str">
        <f>IF(NIVEL_3[[#This Row],['#]]&gt;0,"NIVEL 3","")</f>
        <v>NIVEL 3</v>
      </c>
      <c r="C6" s="37" t="str">
        <f>TEXT(NIVEL_3[[#This Row],[Fecha de Evaluación]],"MMMM")</f>
        <v>marzo</v>
      </c>
      <c r="D6" s="21">
        <v>46110</v>
      </c>
      <c r="E6" s="22" t="s">
        <v>85</v>
      </c>
      <c r="F6" s="23">
        <v>1062539643</v>
      </c>
      <c r="G6" s="23">
        <v>4</v>
      </c>
      <c r="H6" s="23">
        <v>4</v>
      </c>
      <c r="I6" s="23">
        <v>5</v>
      </c>
      <c r="J6" s="23">
        <v>5</v>
      </c>
      <c r="K6" s="23">
        <v>4</v>
      </c>
      <c r="L6" s="23">
        <v>3</v>
      </c>
      <c r="M6" s="23">
        <v>5</v>
      </c>
      <c r="N6" s="23">
        <v>4</v>
      </c>
      <c r="O6" s="23">
        <v>4</v>
      </c>
      <c r="P6" s="23">
        <v>5</v>
      </c>
      <c r="Q6" s="23">
        <v>3</v>
      </c>
      <c r="R6" s="23">
        <v>3</v>
      </c>
      <c r="S6" s="23">
        <v>4</v>
      </c>
      <c r="T6" s="24">
        <f>IFERROR(AVERAGE(G6:S6),"-")</f>
        <v>4.0769230769230766</v>
      </c>
      <c r="U6" s="32" t="str" cm="1">
        <f t="array" ref="U6">_xlfn.IFS(NIVEL_3[[#This Row],[Pase de Nivel 4,9 ptos]]="-","-",NIVEL_3[[#This Row],[Pase de Nivel 4,9 ptos]]&gt;=4.9,"CAMBIA A EQUIPO",NIVEL_3[[#This Row],[Pase de Nivel 4,9 ptos]]&lt;=4.9,"-")</f>
        <v>-</v>
      </c>
    </row>
    <row r="7" spans="1:21" x14ac:dyDescent="0.3">
      <c r="A7" s="36">
        <f>MONTH(NIVEL_3[[#This Row],[Fecha de Evaluación]])</f>
        <v>4</v>
      </c>
      <c r="B7" s="12" t="str">
        <f>IF(NIVEL_3[[#This Row],['#]]&gt;0,"NIVEL 3","")</f>
        <v>NIVEL 3</v>
      </c>
      <c r="C7" s="37" t="str">
        <f>TEXT(NIVEL_3[[#This Row],[Fecha de Evaluación]],"MMMM")</f>
        <v>abril</v>
      </c>
      <c r="D7" s="21">
        <v>46142</v>
      </c>
      <c r="E7" s="22" t="s">
        <v>85</v>
      </c>
      <c r="F7" s="23">
        <v>1062539643</v>
      </c>
      <c r="G7" s="23">
        <v>5</v>
      </c>
      <c r="H7" s="23">
        <v>4</v>
      </c>
      <c r="I7" s="23">
        <v>5</v>
      </c>
      <c r="J7" s="23">
        <v>5</v>
      </c>
      <c r="K7" s="23">
        <v>4</v>
      </c>
      <c r="L7" s="23">
        <v>3</v>
      </c>
      <c r="M7" s="23">
        <v>5</v>
      </c>
      <c r="N7" s="23">
        <v>4</v>
      </c>
      <c r="O7" s="23">
        <v>4</v>
      </c>
      <c r="P7" s="23">
        <v>5</v>
      </c>
      <c r="Q7" s="23">
        <v>3</v>
      </c>
      <c r="R7" s="23">
        <v>4</v>
      </c>
      <c r="S7" s="23">
        <v>5</v>
      </c>
      <c r="T7" s="24">
        <f>IFERROR(AVERAGE(G7:S7),"-")</f>
        <v>4.3076923076923075</v>
      </c>
      <c r="U7" s="32" t="str" cm="1">
        <f t="array" ref="U7">_xlfn.IFS(NIVEL_3[[#This Row],[Pase de Nivel 4,9 ptos]]="-","-",NIVEL_3[[#This Row],[Pase de Nivel 4,9 ptos]]&gt;=4.9,"CAMBIA A EQUIPO",NIVEL_3[[#This Row],[Pase de Nivel 4,9 ptos]]&lt;=4.9,"-")</f>
        <v>-</v>
      </c>
    </row>
    <row r="8" spans="1:21" x14ac:dyDescent="0.3">
      <c r="A8" s="36">
        <f>MONTH(NIVEL_3[[#This Row],[Fecha de Evaluación]])</f>
        <v>4</v>
      </c>
      <c r="B8" s="12" t="str">
        <f>IF(NIVEL_3[[#This Row],['#]]&gt;0,"NIVEL 3","")</f>
        <v>NIVEL 3</v>
      </c>
      <c r="C8" s="37" t="str">
        <f>TEXT(NIVEL_3[[#This Row],[Fecha de Evaluación]],"MMMM")</f>
        <v>abril</v>
      </c>
      <c r="D8" s="21">
        <v>46142</v>
      </c>
      <c r="E8" s="22" t="s">
        <v>134</v>
      </c>
      <c r="F8" s="23">
        <v>1067947255</v>
      </c>
      <c r="G8" s="23">
        <v>5</v>
      </c>
      <c r="H8" s="23">
        <v>3</v>
      </c>
      <c r="I8" s="23">
        <v>5</v>
      </c>
      <c r="J8" s="23">
        <v>5</v>
      </c>
      <c r="K8" s="23">
        <v>4</v>
      </c>
      <c r="L8" s="23">
        <v>3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 t="shared" ref="T8:T19" si="0">IFERROR(AVERAGE(G8:S8),"-")</f>
        <v>4.384615384615385</v>
      </c>
      <c r="U8" s="32" t="str" cm="1">
        <f t="array" ref="U8">_xlfn.IFS(NIVEL_3[[#This Row],[Pase de Nivel 4,9 ptos]]="-","-",NIVEL_3[[#This Row],[Pase de Nivel 4,9 ptos]]&gt;=4.9,"CAMBIA A EQUIPO",NIVEL_3[[#This Row],[Pase de Nivel 4,9 ptos]]&lt;=4.9,"-")</f>
        <v>-</v>
      </c>
    </row>
    <row r="9" spans="1:21" x14ac:dyDescent="0.3">
      <c r="A9" s="36">
        <f>MONTH(NIVEL_3[[#This Row],[Fecha de Evaluación]])</f>
        <v>5</v>
      </c>
      <c r="B9" s="12" t="str">
        <f>IF(NIVEL_3[[#This Row],['#]]&gt;0,"NIVEL 3","")</f>
        <v>NIVEL 3</v>
      </c>
      <c r="C9" s="37" t="str">
        <f>TEXT(NIVEL_3[[#This Row],[Fecha de Evaluación]],"MMMM")</f>
        <v>mayo</v>
      </c>
      <c r="D9" s="21">
        <v>46172</v>
      </c>
      <c r="E9" s="22" t="s">
        <v>85</v>
      </c>
      <c r="F9" s="23">
        <v>1062539643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4</v>
      </c>
      <c r="O9" s="23">
        <v>4</v>
      </c>
      <c r="P9" s="23">
        <v>5</v>
      </c>
      <c r="Q9" s="23">
        <v>3</v>
      </c>
      <c r="R9" s="23">
        <v>4</v>
      </c>
      <c r="S9" s="23">
        <v>5</v>
      </c>
      <c r="T9" s="24">
        <f t="shared" si="0"/>
        <v>4.4615384615384617</v>
      </c>
      <c r="U9" s="32" t="str" cm="1">
        <f t="array" ref="U9">_xlfn.IFS(NIVEL_3[[#This Row],[Pase de Nivel 4,9 ptos]]="-","-",NIVEL_3[[#This Row],[Pase de Nivel 4,9 ptos]]&gt;=4.9,"CAMBIA A EQUIPO",NIVEL_3[[#This Row],[Pase de Nivel 4,9 ptos]]&lt;=4.9,"-")</f>
        <v>-</v>
      </c>
    </row>
    <row r="10" spans="1:21" x14ac:dyDescent="0.3">
      <c r="A10" s="36">
        <f>MONTH(NIVEL_3[[#This Row],[Fecha de Evaluación]])</f>
        <v>5</v>
      </c>
      <c r="B10" s="12" t="str">
        <f>IF(NIVEL_3[[#This Row],['#]]&gt;0,"NIVEL 3","")</f>
        <v>NIVEL 3</v>
      </c>
      <c r="C10" s="37" t="str">
        <f>TEXT(NIVEL_3[[#This Row],[Fecha de Evaluación]],"MMMM")</f>
        <v>mayo</v>
      </c>
      <c r="D10" s="21">
        <v>46172</v>
      </c>
      <c r="E10" s="22" t="s">
        <v>134</v>
      </c>
      <c r="F10" s="23">
        <v>1067947255</v>
      </c>
      <c r="G10" s="23">
        <v>5</v>
      </c>
      <c r="H10" s="23">
        <v>4</v>
      </c>
      <c r="I10" s="23">
        <v>5</v>
      </c>
      <c r="J10" s="23">
        <v>5</v>
      </c>
      <c r="K10" s="23">
        <v>4</v>
      </c>
      <c r="L10" s="23">
        <v>4</v>
      </c>
      <c r="M10" s="23">
        <v>5</v>
      </c>
      <c r="N10" s="23">
        <v>5</v>
      </c>
      <c r="O10" s="23">
        <v>5</v>
      </c>
      <c r="P10" s="23">
        <v>5</v>
      </c>
      <c r="Q10" s="23">
        <v>3</v>
      </c>
      <c r="R10" s="23">
        <v>4</v>
      </c>
      <c r="S10" s="23">
        <v>5</v>
      </c>
      <c r="T10" s="24">
        <f t="shared" si="0"/>
        <v>4.5384615384615383</v>
      </c>
      <c r="U10" s="32" t="str" cm="1">
        <f t="array" ref="U10">_xlfn.IFS(NIVEL_3[[#This Row],[Pase de Nivel 4,9 ptos]]="-","-",NIVEL_3[[#This Row],[Pase de Nivel 4,9 ptos]]&gt;=4.9,"CAMBIA A EQUIPO",NIVEL_3[[#This Row],[Pase de Nivel 4,9 ptos]]&lt;=4.9,"-")</f>
        <v>-</v>
      </c>
    </row>
    <row r="11" spans="1:21" x14ac:dyDescent="0.3">
      <c r="A11" s="36">
        <f>MONTH(NIVEL_3[[#This Row],[Fecha de Evaluación]])</f>
        <v>6</v>
      </c>
      <c r="B11" s="12" t="str">
        <f>IF(NIVEL_3[[#This Row],['#]]&gt;0,"NIVEL 3","")</f>
        <v>NIVEL 3</v>
      </c>
      <c r="C11" s="37" t="str">
        <f>TEXT(NIVEL_3[[#This Row],[Fecha de Evaluación]],"MMMM")</f>
        <v>junio</v>
      </c>
      <c r="D11" s="21">
        <v>46203</v>
      </c>
      <c r="E11" s="22" t="s">
        <v>85</v>
      </c>
      <c r="F11" s="23">
        <v>1062539643</v>
      </c>
      <c r="G11" s="23">
        <v>5</v>
      </c>
      <c r="H11" s="23">
        <v>5</v>
      </c>
      <c r="I11" s="23">
        <v>5</v>
      </c>
      <c r="J11" s="23">
        <v>5</v>
      </c>
      <c r="K11" s="23">
        <v>4</v>
      </c>
      <c r="L11" s="23">
        <v>4</v>
      </c>
      <c r="M11" s="23">
        <v>5</v>
      </c>
      <c r="N11" s="23">
        <v>4</v>
      </c>
      <c r="O11" s="23">
        <v>5</v>
      </c>
      <c r="P11" s="23">
        <v>5</v>
      </c>
      <c r="Q11" s="23">
        <v>3</v>
      </c>
      <c r="R11" s="23">
        <v>4</v>
      </c>
      <c r="S11" s="23">
        <v>5</v>
      </c>
      <c r="T11" s="24">
        <f t="shared" si="0"/>
        <v>4.5384615384615383</v>
      </c>
      <c r="U11" s="32" t="str" cm="1">
        <f t="array" ref="U11">_xlfn.IFS(NIVEL_3[[#This Row],[Pase de Nivel 4,9 ptos]]="-","-",NIVEL_3[[#This Row],[Pase de Nivel 4,9 ptos]]&gt;=4.9,"CAMBIA A EQUIPO",NIVEL_3[[#This Row],[Pase de Nivel 4,9 ptos]]&lt;=4.9,"-")</f>
        <v>-</v>
      </c>
    </row>
    <row r="12" spans="1:21" x14ac:dyDescent="0.3">
      <c r="A12" s="36">
        <f>MONTH(NIVEL_3[[#This Row],[Fecha de Evaluación]])</f>
        <v>6</v>
      </c>
      <c r="B12" s="12" t="str">
        <f>IF(NIVEL_3[[#This Row],['#]]&gt;0,"NIVEL 3","")</f>
        <v>NIVEL 3</v>
      </c>
      <c r="C12" s="37" t="str">
        <f>TEXT(NIVEL_3[[#This Row],[Fecha de Evaluación]],"MMMM")</f>
        <v>junio</v>
      </c>
      <c r="D12" s="21">
        <v>46203</v>
      </c>
      <c r="E12" s="22" t="s">
        <v>111</v>
      </c>
      <c r="F12" s="23">
        <v>1062980565</v>
      </c>
      <c r="G12" s="23">
        <v>5</v>
      </c>
      <c r="H12" s="23">
        <v>5</v>
      </c>
      <c r="I12" s="23">
        <v>5</v>
      </c>
      <c r="J12" s="23">
        <v>5</v>
      </c>
      <c r="K12" s="23">
        <v>4</v>
      </c>
      <c r="L12" s="23">
        <v>3</v>
      </c>
      <c r="M12" s="23">
        <v>5</v>
      </c>
      <c r="N12" s="23">
        <v>4</v>
      </c>
      <c r="O12" s="23">
        <v>4</v>
      </c>
      <c r="P12" s="23">
        <v>4</v>
      </c>
      <c r="Q12" s="23">
        <v>2</v>
      </c>
      <c r="R12" s="23">
        <v>4</v>
      </c>
      <c r="S12" s="23">
        <v>5</v>
      </c>
      <c r="T12" s="24">
        <f t="shared" si="0"/>
        <v>4.2307692307692308</v>
      </c>
      <c r="U12" s="32" t="str" cm="1">
        <f t="array" ref="U12">_xlfn.IFS(NIVEL_3[[#This Row],[Pase de Nivel 4,9 ptos]]="-","-",NIVEL_3[[#This Row],[Pase de Nivel 4,9 ptos]]&gt;=4.9,"CAMBIA A EQUIPO",NIVEL_3[[#This Row],[Pase de Nivel 4,9 ptos]]&lt;=4.9,"-")</f>
        <v>-</v>
      </c>
    </row>
    <row r="13" spans="1:21" x14ac:dyDescent="0.3">
      <c r="A13" s="36">
        <f>MONTH(NIVEL_3[[#This Row],[Fecha de Evaluación]])</f>
        <v>6</v>
      </c>
      <c r="B13" s="12" t="str">
        <f>IF(NIVEL_3[[#This Row],['#]]&gt;0,"NIVEL 3","")</f>
        <v>NIVEL 3</v>
      </c>
      <c r="C13" s="37" t="str">
        <f>TEXT(NIVEL_3[[#This Row],[Fecha de Evaluación]],"MMMM")</f>
        <v>junio</v>
      </c>
      <c r="D13" s="21">
        <v>46203</v>
      </c>
      <c r="E13" s="22" t="s">
        <v>113</v>
      </c>
      <c r="F13" s="23">
        <v>1068439668</v>
      </c>
      <c r="G13" s="23">
        <v>5</v>
      </c>
      <c r="H13" s="23">
        <v>5</v>
      </c>
      <c r="I13" s="23">
        <v>5</v>
      </c>
      <c r="J13" s="23">
        <v>5</v>
      </c>
      <c r="K13" s="23">
        <v>4</v>
      </c>
      <c r="L13" s="23">
        <v>3</v>
      </c>
      <c r="M13" s="23">
        <v>5</v>
      </c>
      <c r="N13" s="23">
        <v>4</v>
      </c>
      <c r="O13" s="23">
        <v>5</v>
      </c>
      <c r="P13" s="23">
        <v>5</v>
      </c>
      <c r="Q13" s="23">
        <v>2</v>
      </c>
      <c r="R13" s="23">
        <v>4</v>
      </c>
      <c r="S13" s="23">
        <v>5</v>
      </c>
      <c r="T13" s="24">
        <f t="shared" si="0"/>
        <v>4.384615384615385</v>
      </c>
      <c r="U13" s="32" t="str" cm="1">
        <f t="array" ref="U13">_xlfn.IFS(NIVEL_3[[#This Row],[Pase de Nivel 4,9 ptos]]="-","-",NIVEL_3[[#This Row],[Pase de Nivel 4,9 ptos]]&gt;=4.9,"CAMBIA A EQUIPO",NIVEL_3[[#This Row],[Pase de Nivel 4,9 ptos]]&lt;=4.9,"-")</f>
        <v>-</v>
      </c>
    </row>
    <row r="14" spans="1:21" x14ac:dyDescent="0.3">
      <c r="A14" s="36">
        <f>MONTH(NIVEL_3[[#This Row],[Fecha de Evaluación]])</f>
        <v>7</v>
      </c>
      <c r="B14" s="12" t="str">
        <f>IF(NIVEL_3[[#This Row],['#]]&gt;0,"NIVEL 3","")</f>
        <v>NIVEL 3</v>
      </c>
      <c r="C14" s="37" t="str">
        <f>TEXT(NIVEL_3[[#This Row],[Fecha de Evaluación]],"MMMM")</f>
        <v>julio</v>
      </c>
      <c r="D14" s="21">
        <v>46233</v>
      </c>
      <c r="E14" s="22" t="s">
        <v>82</v>
      </c>
      <c r="F14" s="23">
        <v>1027663882</v>
      </c>
      <c r="G14" s="23">
        <v>4</v>
      </c>
      <c r="H14" s="23">
        <v>4</v>
      </c>
      <c r="I14" s="23">
        <v>5</v>
      </c>
      <c r="J14" s="23">
        <v>4</v>
      </c>
      <c r="K14" s="23">
        <v>4</v>
      </c>
      <c r="L14" s="23">
        <v>3</v>
      </c>
      <c r="M14" s="23">
        <v>5</v>
      </c>
      <c r="N14" s="23">
        <v>4</v>
      </c>
      <c r="O14" s="23">
        <v>4</v>
      </c>
      <c r="P14" s="23">
        <v>5</v>
      </c>
      <c r="Q14" s="23">
        <v>3</v>
      </c>
      <c r="R14" s="23">
        <v>5</v>
      </c>
      <c r="S14" s="23">
        <v>5</v>
      </c>
      <c r="T14" s="24">
        <f t="shared" si="0"/>
        <v>4.2307692307692308</v>
      </c>
      <c r="U14" s="32" t="str" cm="1">
        <f t="array" ref="U14">_xlfn.IFS(NIVEL_3[[#This Row],[Pase de Nivel 4,9 ptos]]="-","-",NIVEL_3[[#This Row],[Pase de Nivel 4,9 ptos]]&gt;=4.9,"CAMBIA A EQUIPO",NIVEL_3[[#This Row],[Pase de Nivel 4,9 ptos]]&lt;=4.9,"-")</f>
        <v>-</v>
      </c>
    </row>
    <row r="15" spans="1:21" x14ac:dyDescent="0.3">
      <c r="A15" s="36">
        <f>MONTH(NIVEL_3[[#This Row],[Fecha de Evaluación]])</f>
        <v>7</v>
      </c>
      <c r="B15" s="12" t="str">
        <f>IF(NIVEL_3[[#This Row],['#]]&gt;0,"NIVEL 3","")</f>
        <v>NIVEL 3</v>
      </c>
      <c r="C15" s="37" t="str">
        <f>TEXT(NIVEL_3[[#This Row],[Fecha de Evaluación]],"MMMM")</f>
        <v>julio</v>
      </c>
      <c r="D15" s="21">
        <v>46233</v>
      </c>
      <c r="E15" s="22" t="s">
        <v>85</v>
      </c>
      <c r="F15" s="23">
        <v>1062539643</v>
      </c>
      <c r="G15" s="23">
        <v>5</v>
      </c>
      <c r="H15" s="23">
        <v>5</v>
      </c>
      <c r="I15" s="23">
        <v>5</v>
      </c>
      <c r="J15" s="23">
        <v>5</v>
      </c>
      <c r="K15" s="23">
        <v>4</v>
      </c>
      <c r="L15" s="23">
        <v>4</v>
      </c>
      <c r="M15" s="23">
        <v>5</v>
      </c>
      <c r="N15" s="23">
        <v>4</v>
      </c>
      <c r="O15" s="23">
        <v>5</v>
      </c>
      <c r="P15" s="23">
        <v>5</v>
      </c>
      <c r="Q15" s="23">
        <v>3</v>
      </c>
      <c r="R15" s="23">
        <v>4</v>
      </c>
      <c r="S15" s="23">
        <v>5</v>
      </c>
      <c r="T15" s="24">
        <f t="shared" si="0"/>
        <v>4.5384615384615383</v>
      </c>
      <c r="U15" s="32" t="str" cm="1">
        <f t="array" ref="U15">_xlfn.IFS(NIVEL_3[[#This Row],[Pase de Nivel 4,9 ptos]]="-","-",NIVEL_3[[#This Row],[Pase de Nivel 4,9 ptos]]&gt;=4.9,"CAMBIA A EQUIPO",NIVEL_3[[#This Row],[Pase de Nivel 4,9 ptos]]&lt;=4.9,"-")</f>
        <v>-</v>
      </c>
    </row>
    <row r="16" spans="1:21" x14ac:dyDescent="0.3">
      <c r="A16" s="36">
        <f>MONTH(NIVEL_3[[#This Row],[Fecha de Evaluación]])</f>
        <v>7</v>
      </c>
      <c r="B16" s="12" t="str">
        <f>IF(NIVEL_3[[#This Row],['#]]&gt;0,"NIVEL 3","")</f>
        <v>NIVEL 3</v>
      </c>
      <c r="C16" s="37" t="str">
        <f>TEXT(NIVEL_3[[#This Row],[Fecha de Evaluación]],"MMMM")</f>
        <v>julio</v>
      </c>
      <c r="D16" s="21">
        <v>46233</v>
      </c>
      <c r="E16" s="22" t="s">
        <v>111</v>
      </c>
      <c r="F16" s="23">
        <v>1062980565</v>
      </c>
      <c r="G16" s="23">
        <v>5</v>
      </c>
      <c r="H16" s="23">
        <v>5</v>
      </c>
      <c r="I16" s="23">
        <v>5</v>
      </c>
      <c r="J16" s="23">
        <v>5</v>
      </c>
      <c r="K16" s="23">
        <v>4</v>
      </c>
      <c r="L16" s="23">
        <v>3</v>
      </c>
      <c r="M16" s="23">
        <v>5</v>
      </c>
      <c r="N16" s="23">
        <v>4</v>
      </c>
      <c r="O16" s="23">
        <v>4</v>
      </c>
      <c r="P16" s="23">
        <v>4</v>
      </c>
      <c r="Q16" s="23">
        <v>2</v>
      </c>
      <c r="R16" s="23">
        <v>4</v>
      </c>
      <c r="S16" s="23">
        <v>5</v>
      </c>
      <c r="T16" s="24">
        <f t="shared" si="0"/>
        <v>4.2307692307692308</v>
      </c>
      <c r="U16" s="32" t="str" cm="1">
        <f t="array" ref="U16">_xlfn.IFS(NIVEL_3[[#This Row],[Pase de Nivel 4,9 ptos]]="-","-",NIVEL_3[[#This Row],[Pase de Nivel 4,9 ptos]]&gt;=4.9,"CAMBIA A EQUIPO",NIVEL_3[[#This Row],[Pase de Nivel 4,9 ptos]]&lt;=4.9,"-")</f>
        <v>-</v>
      </c>
    </row>
    <row r="17" spans="1:21" x14ac:dyDescent="0.3">
      <c r="A17" s="36">
        <f>MONTH(NIVEL_3[[#This Row],[Fecha de Evaluación]])</f>
        <v>7</v>
      </c>
      <c r="B17" s="12" t="str">
        <f>IF(NIVEL_3[[#This Row],['#]]&gt;0,"NIVEL 3","")</f>
        <v>NIVEL 3</v>
      </c>
      <c r="C17" s="37" t="str">
        <f>TEXT(NIVEL_3[[#This Row],[Fecha de Evaluación]],"MMMM")</f>
        <v>julio</v>
      </c>
      <c r="D17" s="21">
        <v>46233</v>
      </c>
      <c r="E17" s="22" t="s">
        <v>113</v>
      </c>
      <c r="F17" s="23">
        <v>1068439668</v>
      </c>
      <c r="G17" s="23">
        <v>5</v>
      </c>
      <c r="H17" s="23">
        <v>5</v>
      </c>
      <c r="I17" s="23">
        <v>5</v>
      </c>
      <c r="J17" s="23">
        <v>5</v>
      </c>
      <c r="K17" s="23">
        <v>4</v>
      </c>
      <c r="L17" s="23">
        <v>3</v>
      </c>
      <c r="M17" s="23">
        <v>5</v>
      </c>
      <c r="N17" s="23">
        <v>4</v>
      </c>
      <c r="O17" s="23">
        <v>5</v>
      </c>
      <c r="P17" s="23">
        <v>5</v>
      </c>
      <c r="Q17" s="23">
        <v>2</v>
      </c>
      <c r="R17" s="23">
        <v>4</v>
      </c>
      <c r="S17" s="23">
        <v>5</v>
      </c>
      <c r="T17" s="24">
        <f t="shared" si="0"/>
        <v>4.384615384615385</v>
      </c>
      <c r="U17" s="32" t="str" cm="1">
        <f t="array" ref="U17">_xlfn.IFS(NIVEL_3[[#This Row],[Pase de Nivel 4,9 ptos]]="-","-",NIVEL_3[[#This Row],[Pase de Nivel 4,9 ptos]]&gt;=4.9,"CAMBIA A EQUIPO",NIVEL_3[[#This Row],[Pase de Nivel 4,9 ptos]]&lt;=4.9,"-")</f>
        <v>-</v>
      </c>
    </row>
    <row r="18" spans="1:21" x14ac:dyDescent="0.3">
      <c r="A18" s="36">
        <f>MONTH(NIVEL_3[[#This Row],[Fecha de Evaluación]])</f>
        <v>7</v>
      </c>
      <c r="B18" s="12" t="str">
        <f>IF(NIVEL_3[[#This Row],['#]]&gt;0,"NIVEL 3","")</f>
        <v>NIVEL 3</v>
      </c>
      <c r="C18" s="37" t="str">
        <f>TEXT(NIVEL_3[[#This Row],[Fecha de Evaluación]],"MMMM")</f>
        <v>julio</v>
      </c>
      <c r="D18" s="21">
        <v>46233</v>
      </c>
      <c r="E18" s="22" t="s">
        <v>83</v>
      </c>
      <c r="F18" s="23">
        <v>1138032549</v>
      </c>
      <c r="G18" s="23">
        <v>4</v>
      </c>
      <c r="H18" s="23">
        <v>4</v>
      </c>
      <c r="I18" s="23">
        <v>5</v>
      </c>
      <c r="J18" s="23">
        <v>3</v>
      </c>
      <c r="K18" s="23">
        <v>4</v>
      </c>
      <c r="L18" s="23">
        <v>2</v>
      </c>
      <c r="M18" s="23">
        <v>5</v>
      </c>
      <c r="N18" s="23">
        <v>4</v>
      </c>
      <c r="O18" s="23">
        <v>4</v>
      </c>
      <c r="P18" s="23">
        <v>4</v>
      </c>
      <c r="Q18" s="23">
        <v>2</v>
      </c>
      <c r="R18" s="23">
        <v>4</v>
      </c>
      <c r="S18" s="23">
        <v>5</v>
      </c>
      <c r="T18" s="24">
        <f t="shared" si="0"/>
        <v>3.8461538461538463</v>
      </c>
      <c r="U18" s="32" t="str" cm="1">
        <f t="array" ref="U18">_xlfn.IFS(NIVEL_3[[#This Row],[Pase de Nivel 4,9 ptos]]="-","-",NIVEL_3[[#This Row],[Pase de Nivel 4,9 ptos]]&gt;=4.9,"CAMBIA A EQUIPO",NIVEL_3[[#This Row],[Pase de Nivel 4,9 ptos]]&lt;=4.9,"-")</f>
        <v>-</v>
      </c>
    </row>
    <row r="19" spans="1:21" x14ac:dyDescent="0.3">
      <c r="A19" s="36">
        <f>MONTH(NIVEL_3[[#This Row],[Fecha de Evaluación]])</f>
        <v>7</v>
      </c>
      <c r="B19" s="12" t="str">
        <f>IF(NIVEL_3[[#This Row],['#]]&gt;0,"NIVEL 3","")</f>
        <v>NIVEL 3</v>
      </c>
      <c r="C19" s="37" t="str">
        <f>TEXT(NIVEL_3[[#This Row],[Fecha de Evaluación]],"MMMM")</f>
        <v>julio</v>
      </c>
      <c r="D19" s="21">
        <v>46233</v>
      </c>
      <c r="E19" s="22" t="s">
        <v>73</v>
      </c>
      <c r="F19" s="23">
        <v>1140444971</v>
      </c>
      <c r="G19" s="23">
        <v>5</v>
      </c>
      <c r="H19" s="23">
        <v>2</v>
      </c>
      <c r="I19" s="23">
        <v>5</v>
      </c>
      <c r="J19" s="23">
        <v>4</v>
      </c>
      <c r="K19" s="23">
        <v>4</v>
      </c>
      <c r="L19" s="23">
        <v>2</v>
      </c>
      <c r="M19" s="23">
        <v>5</v>
      </c>
      <c r="N19" s="23">
        <v>4</v>
      </c>
      <c r="O19" s="23">
        <v>5</v>
      </c>
      <c r="P19" s="23">
        <v>5</v>
      </c>
      <c r="Q19" s="23">
        <v>2</v>
      </c>
      <c r="R19" s="23">
        <v>3</v>
      </c>
      <c r="S19" s="23">
        <v>5</v>
      </c>
      <c r="T19" s="24">
        <f t="shared" si="0"/>
        <v>3.9230769230769229</v>
      </c>
      <c r="U19" s="32" t="str" cm="1">
        <f t="array" ref="U19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2026-08-02T04:49:25Z</dcterms:modified>
</cp:coreProperties>
</file>