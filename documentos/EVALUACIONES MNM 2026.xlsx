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6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AD9CFC01-7335-42B3-A99B-14166740470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3" l="1"/>
  <c r="T5" i="3"/>
  <c r="T3" i="3"/>
  <c r="U3" i="3" s="1" a="1"/>
  <c r="U3" i="3" s="1"/>
  <c r="U4" i="3" a="1"/>
  <c r="U4" i="3" s="1"/>
  <c r="U5" i="3" a="1"/>
  <c r="U5" i="3" s="1"/>
  <c r="A5" i="3"/>
  <c r="B5" i="3" s="1"/>
  <c r="C5" i="3"/>
  <c r="N4" i="2"/>
  <c r="O4" i="2" s="1" a="1"/>
  <c r="O4" i="2" s="1"/>
  <c r="N5" i="2"/>
  <c r="N6" i="2"/>
  <c r="O6" i="2" s="1" a="1"/>
  <c r="O6" i="2" s="1"/>
  <c r="N7" i="2"/>
  <c r="N8" i="2"/>
  <c r="N9" i="2"/>
  <c r="N10" i="2"/>
  <c r="N11" i="2"/>
  <c r="A7" i="2"/>
  <c r="A5" i="2"/>
  <c r="A10" i="2"/>
  <c r="A6" i="2"/>
  <c r="A9" i="2"/>
  <c r="A8" i="2"/>
  <c r="A11" i="2"/>
  <c r="B7" i="2"/>
  <c r="B5" i="2"/>
  <c r="B10" i="2"/>
  <c r="B6" i="2"/>
  <c r="B9" i="2"/>
  <c r="B8" i="2"/>
  <c r="B11" i="2"/>
  <c r="C7" i="2"/>
  <c r="C5" i="2"/>
  <c r="C10" i="2"/>
  <c r="C6" i="2"/>
  <c r="C9" i="2"/>
  <c r="C8" i="2"/>
  <c r="C11" i="2"/>
  <c r="O9" i="2" a="1"/>
  <c r="O9" i="2" s="1"/>
  <c r="O8" i="2" a="1"/>
  <c r="O8" i="2" s="1"/>
  <c r="O11" i="2" a="1"/>
  <c r="O11" i="2" s="1"/>
  <c r="O7" i="2" a="1"/>
  <c r="O7" i="2" s="1"/>
  <c r="O5" i="2" a="1"/>
  <c r="O5" i="2" s="1"/>
  <c r="O10" i="2" a="1"/>
  <c r="O10" i="2" s="1"/>
  <c r="N4" i="1"/>
  <c r="O4" i="1" s="1" a="1"/>
  <c r="O4" i="1" s="1"/>
  <c r="N5" i="1"/>
  <c r="O5" i="1" s="1" a="1"/>
  <c r="O5" i="1" s="1"/>
  <c r="N6" i="1"/>
  <c r="O6" i="1" s="1" a="1"/>
  <c r="O6" i="1" s="1"/>
  <c r="N7" i="1"/>
  <c r="O7" i="1" s="1" a="1"/>
  <c r="O7" i="1" s="1"/>
  <c r="N8" i="1"/>
  <c r="O8" i="1" s="1" a="1"/>
  <c r="O8" i="1" s="1"/>
  <c r="N9" i="1"/>
  <c r="O9" i="1" s="1" a="1"/>
  <c r="O9" i="1" s="1"/>
  <c r="N10" i="1"/>
  <c r="O10" i="1" s="1" a="1"/>
  <c r="O10" i="1" s="1"/>
  <c r="N11" i="1"/>
  <c r="O11" i="1" s="1" a="1"/>
  <c r="O11" i="1" s="1"/>
  <c r="N12" i="1"/>
  <c r="O12" i="1" s="1" a="1"/>
  <c r="O12" i="1" s="1"/>
  <c r="N13" i="1"/>
  <c r="O13" i="1" s="1" a="1"/>
  <c r="O13" i="1" s="1"/>
  <c r="N14" i="1"/>
  <c r="O14" i="1" s="1" a="1"/>
  <c r="O14" i="1" s="1"/>
  <c r="N15" i="1"/>
  <c r="O15" i="1" s="1" a="1"/>
  <c r="O15" i="1" s="1"/>
  <c r="N16" i="1"/>
  <c r="O16" i="1" s="1" a="1"/>
  <c r="O16" i="1" s="1"/>
  <c r="N17" i="1"/>
  <c r="O17" i="1" s="1" a="1"/>
  <c r="O17" i="1" s="1"/>
  <c r="N18" i="1"/>
  <c r="O18" i="1" s="1" a="1"/>
  <c r="O18" i="1" s="1"/>
  <c r="N19" i="1"/>
  <c r="O19" i="1" s="1" a="1"/>
  <c r="O19" i="1" s="1"/>
  <c r="N20" i="1"/>
  <c r="O20" i="1" s="1" a="1"/>
  <c r="O20" i="1" s="1"/>
  <c r="N21" i="1"/>
  <c r="O21" i="1" s="1" a="1"/>
  <c r="O21" i="1" s="1"/>
  <c r="N22" i="1"/>
  <c r="O22" i="1" s="1" a="1"/>
  <c r="O22" i="1" s="1"/>
  <c r="N23" i="1"/>
  <c r="O23" i="1" s="1" a="1"/>
  <c r="O23" i="1" s="1"/>
  <c r="N24" i="1"/>
  <c r="O24" i="1" s="1" a="1"/>
  <c r="O24" i="1" s="1"/>
  <c r="N25" i="1"/>
  <c r="O25" i="1" s="1" a="1"/>
  <c r="O25" i="1" s="1"/>
  <c r="A22" i="1"/>
  <c r="A13" i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B22" i="1"/>
  <c r="B13" i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O3" i="2" s="1"/>
  <c r="N3" i="1"/>
  <c r="O3" i="1" s="1" a="1"/>
  <c r="O3" i="1" s="1"/>
  <c r="A4" i="3" l="1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 l="1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<sst xmlns="http://schemas.openxmlformats.org/spreadsheetml/2006/main" count="160" uniqueCount="99">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</sst>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69" dataDxfId="68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67"/>
    <tableColumn id="2" xr3:uid="{C45C8DBF-C350-4EAC-B340-B1433B532DF4}" name="T. ALUMNOS" dataDxfId="66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65">
      <calculatedColumnFormula>COUNTIF('NIVEL 1'!$B:$B,REPORTE!A2)</calculatedColumnFormula>
    </tableColumn>
    <tableColumn id="4" xr3:uid="{B844FCB1-5911-4097-AC96-E45A77F4EADB}" name="CAMBIO N2" dataDxfId="64">
      <calculatedColumnFormula>COUNTIFS('NIVEL 1'!$B:$B,Tabla11[[#This Row],[MESES]],'NIVEL 1'!$N:$N,"CAMBIA A NIVEL 2")</calculatedColumnFormula>
    </tableColumn>
    <tableColumn id="6" xr3:uid="{09584C72-C135-48E6-BBF7-7505B75ADFE1}" name="TOTAL N2" dataDxfId="63">
      <calculatedColumnFormula>COUNTIF('NIVEL 2'!$B:$B,REPORTE!A2)</calculatedColumnFormula>
    </tableColumn>
    <tableColumn id="7" xr3:uid="{050D800C-3210-4B53-B962-4423AD8D7D44}" name="CAMBIO N3" dataDxfId="62">
      <calculatedColumnFormula>COUNTIFS('NIVEL 2'!$B:$B,Tabla11[[#This Row],[MESES]],'NIVEL 2'!$N:$N,"CAMBIA A NIVEL 3")</calculatedColumnFormula>
    </tableColumn>
    <tableColumn id="9" xr3:uid="{533A7FB5-2283-4C4B-B4C5-7CB89D8F9805}" name="TOTAL N3" dataDxfId="61">
      <calculatedColumnFormula>COUNTIF('NIVEL 3'!$B:$B,REPORTE!A2)</calculatedColumnFormula>
    </tableColumn>
    <tableColumn id="10" xr3:uid="{A1B4EC19-A475-44A6-8767-A1367A64797F}" name="A EQUIPO" dataDxfId="60">
      <calculatedColumnFormula>COUNTIFS('NIVEL 3'!$B:$B,Tabla11[[#This Row],[MESES]],'NIVEL 3'!$N:$N,"CAMBIA A EQUIPO")</calculatedColumnFormula>
    </tableColumn>
    <tableColumn id="12" xr3:uid="{BB0919BB-10F2-4412-9120-0EF7216850C1}" name="T. EQUIPO" dataDxfId="59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25" totalsRowShown="0" headerRowDxfId="58" dataDxfId="57" tableBorderDxfId="56">
  <autoFilter ref="A2:O25" xr:uid="{AE1B38D2-F5E0-437E-A0C7-D4FAEDCDAD9F}"/>
  <sortState xmlns:xlrd2="http://schemas.microsoft.com/office/spreadsheetml/2017/richdata2" ref="A3:O25">
    <sortCondition ref="D3:D25"/>
    <sortCondition ref="A3:A25"/>
    <sortCondition ref="F3:F25"/>
  </sortState>
  <tableColumns count="15">
    <tableColumn id="15" xr3:uid="{06087576-FB0C-44ED-9CDF-C51BACC66F7B}" name="#" dataDxfId="55">
      <calculatedColumnFormula>MONTH(NIVEL_1[[#This Row],[Fecha de Evaluación]])</calculatedColumnFormula>
    </tableColumn>
    <tableColumn id="1" xr3:uid="{8EF9B412-985A-48AA-9792-B95947050FCB}" name="NIVEL" dataDxfId="54">
      <calculatedColumnFormula>IF(NIVEL_1[[#This Row],['#]]&gt;0,"NIVEL 1","")</calculatedColumnFormula>
    </tableColumn>
    <tableColumn id="2" xr3:uid="{2E9F9510-35A9-488E-B1DE-D74FC37EE91B}" name="MES" dataDxfId="53">
      <calculatedColumnFormula>TEXT(NIVEL_1[[#This Row],[Fecha de Evaluación]],"MMMM")</calculatedColumnFormula>
    </tableColumn>
    <tableColumn id="3" xr3:uid="{9F822B2A-0A90-4E18-A961-AC7ADB5E33D7}" name="Fecha de Evaluación" dataDxfId="52"/>
    <tableColumn id="4" xr3:uid="{F1A37849-EC75-4EFB-8761-8B4816148787}" name="NOMBRE DEL ALUMNO" dataDxfId="51"/>
    <tableColumn id="5" xr3:uid="{75F8F1A3-4C2C-48D8-BDA8-8EDA5D423C89}" name="DOCUMENTO" dataDxfId="50"/>
    <tableColumn id="6" xr3:uid="{C323AA94-0265-4893-9265-35B1038BBE77}" name="AMBIENTACION" dataDxfId="49"/>
    <tableColumn id="7" xr3:uid="{508CEACB-AA59-433A-AFBE-23B4CF5354AF}" name="FLOTACION DEFENSIVA" dataDxfId="48"/>
    <tableColumn id="8" xr3:uid="{596F9D83-7601-4A50-9A71-07FA546F1FDC}" name="PATADA CROL" dataDxfId="47"/>
    <tableColumn id="9" xr3:uid="{1386C268-2BDD-48F8-9EC7-CB447E9A76B9}" name="PADATA ESPALDA" dataDxfId="46"/>
    <tableColumn id="10" xr3:uid="{B76B36D4-2E2E-4645-8403-BA569067D6EB}" name="ENS. CROL" dataDxfId="45"/>
    <tableColumn id="11" xr3:uid="{A284663E-58C2-40EC-80B3-D1F680E97AF3}" name="ENS ESPALDA" dataDxfId="44"/>
    <tableColumn id="12" xr3:uid="{EA24CD10-C3F1-45CB-A915-9CB5EA29D8A1}" name="SALTO" dataDxfId="43"/>
    <tableColumn id="13" xr3:uid="{95D67B47-0B42-429F-9EC3-5161FF1E86D0}" name="Pase de Nivel 4,7 ptos" dataDxfId="42">
      <calculatedColumnFormula>IFERROR(AVERAGE('NIVEL 1'!G3:M3),"-")</calculatedColumnFormula>
    </tableColumn>
    <tableColumn id="14" xr3:uid="{20659D21-4226-4F1C-9913-990D646166B3}" name="Cambio de Nivel" dataDxfId="41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11" totalsRowShown="0" headerRowDxfId="40" dataDxfId="39">
  <autoFilter ref="A2:O11" xr:uid="{D3B83B8F-7030-4C6B-865D-1CEF5FF0A135}"/>
  <sortState xmlns:xlrd2="http://schemas.microsoft.com/office/spreadsheetml/2017/richdata2" ref="A3:O11">
    <sortCondition ref="A3:A4"/>
    <sortCondition ref="F3:F4"/>
  </sortState>
  <tableColumns count="15">
    <tableColumn id="15" xr3:uid="{09B76DB3-82BE-4C0B-B453-BF194A257258}" name="#" dataDxfId="38">
      <calculatedColumnFormula>MONTH(NIVEL_2[[#This Row],[Fecha de Evaluación]])</calculatedColumnFormula>
    </tableColumn>
    <tableColumn id="1" xr3:uid="{A30C7826-C605-4AD6-9BD1-976B3108B364}" name="NIVEL" dataDxfId="37">
      <calculatedColumnFormula>IF(NIVEL_2[[#This Row],['#]]&gt;0,"NIVEL 2","")</calculatedColumnFormula>
    </tableColumn>
    <tableColumn id="2" xr3:uid="{278C7F91-1379-491F-9B18-95B5FB0F5B4C}" name="MES" dataDxfId="36">
      <calculatedColumnFormula>TEXT(NIVEL_2[[#This Row],[Fecha de Evaluación]],"MMMM")</calculatedColumnFormula>
    </tableColumn>
    <tableColumn id="3" xr3:uid="{61734E93-B6EC-4BCE-81B8-694554146D51}" name="Fecha de Evaluación" dataDxfId="35"/>
    <tableColumn id="4" xr3:uid="{52287499-B96A-4EC4-9C46-4A9605C862D7}" name="NOMBRE DEL ALUMNO" dataDxfId="34"/>
    <tableColumn id="5" xr3:uid="{0ECA98BC-FB01-4F67-8A05-CB651A1C8B21}" name="DOCUMENTO" dataDxfId="33"/>
    <tableColumn id="6" xr3:uid="{4E959843-5A00-4667-9538-531D9390ABDE}" name="TECN ESTILO CROL" dataDxfId="32"/>
    <tableColumn id="7" xr3:uid="{D6B9A5DE-DA9B-48F2-BC77-F1A1DF233559}" name="TECN ESTILO ESPAL" dataDxfId="31"/>
    <tableColumn id="8" xr3:uid="{3674AFCF-043A-4668-A622-83DFE8ED6907}" name="ENSE EST PECHO" dataDxfId="30"/>
    <tableColumn id="9" xr3:uid="{4E82D7B2-52CF-420D-97A4-0A59EFC666C9}" name="ENSE EST MARIPOSA" dataDxfId="29"/>
    <tableColumn id="10" xr3:uid="{BF17361D-FC57-499E-9503-C2F33EB21C88}" name="INI SALIDA OLIMPICA" dataDxfId="28"/>
    <tableColumn id="11" xr3:uid="{8B1BEFD7-6FF5-425A-89DA-581562D0A38F}" name="50 m LIBRE" dataDxfId="27"/>
    <tableColumn id="12" xr3:uid="{991D9CFF-9F59-44B7-AA62-F62FE91F51E4}" name="INI VUELTA OLIMPICA" dataDxfId="26"/>
    <tableColumn id="13" xr3:uid="{1083E4EB-1DAF-41A3-B727-7BF532F1CB2C}" name="Pase de Nivel 4,7 ptos" dataDxfId="25">
      <calculatedColumnFormula>IFERROR(AVERAGE('NIVEL 2'!G3:M3),"-")</calculatedColumnFormula>
    </tableColumn>
    <tableColumn id="14" xr3:uid="{EA8CA3F6-4262-42A0-A47A-543052CC352E}" name="Cambio de Nivel" dataDxfId="24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5" totalsRowShown="0" headerRowDxfId="23" dataDxfId="22" tableBorderDxfId="21">
  <autoFilter ref="A2:U5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20">
      <calculatedColumnFormula>MONTH(NIVEL_3[[#This Row],[Fecha de Evaluación]])</calculatedColumnFormula>
    </tableColumn>
    <tableColumn id="21" xr3:uid="{10AF1518-13B3-40F9-A98E-94CD6E53DC3C}" name="NIVEL" dataDxfId="19">
      <calculatedColumnFormula>IF(NIVEL_3[[#This Row],['#]]&gt;0,"NIVEL 3","")</calculatedColumnFormula>
    </tableColumn>
    <tableColumn id="1" xr3:uid="{EB57D90D-D066-4E6D-A973-52FAC5B51F0B}" name="MES" dataDxfId="18">
      <calculatedColumnFormula>TEXT(NIVEL_3[[#This Row],[Fecha de Evaluación]],"MMMM")</calculatedColumnFormula>
    </tableColumn>
    <tableColumn id="2" xr3:uid="{0FF92161-361C-4203-A4D2-423DC120EB57}" name="Fecha de Evaluación" dataDxfId="17"/>
    <tableColumn id="3" xr3:uid="{717B9D19-3A86-46A2-91B1-EC86BF2E533D}" name="NOMBRE DEL ALUMNO" dataDxfId="16"/>
    <tableColumn id="4" xr3:uid="{C69B0C8E-7042-4239-BC38-5DE04F3B8AED}" name="DOCUMENTO" dataDxfId="15"/>
    <tableColumn id="5" xr3:uid="{1EE2B091-87B8-431E-9319-6E87870DA8A7}" name="100m CROL" dataDxfId="14"/>
    <tableColumn id="6" xr3:uid="{149128A8-27D9-491E-BD3D-385F53877A11}" name="VUELTA OLIMP. CROL" dataDxfId="13"/>
    <tableColumn id="7" xr3:uid="{124D09B0-F954-4F41-A77B-869A1BDB006E}" name="LLEGADA CROL" dataDxfId="12"/>
    <tableColumn id="8" xr3:uid="{350D03DD-5253-4CC2-BFB2-33A4611914A5}" name="SALIDA OLIMP. ESPALDA" dataDxfId="11"/>
    <tableColumn id="9" xr3:uid="{06F7D230-4D74-4E3E-8042-C13E6EA69D7C}" name="100m ESPALDA" dataDxfId="10"/>
    <tableColumn id="10" xr3:uid="{C7656A52-730D-4608-BED4-BE3F03A2F535}" name="VUELTA OLIMP. ESPALDA" dataDxfId="9"/>
    <tableColumn id="11" xr3:uid="{826AA493-8CDE-43B4-9D76-F71252CD2636}" name="LLEGADA ESPALDA" dataDxfId="8"/>
    <tableColumn id="12" xr3:uid="{EA88C99C-8AE3-41D5-88C9-4D1A205AE057}" name="SALIDA OLIMP. MARIPOSA" dataDxfId="7"/>
    <tableColumn id="13" xr3:uid="{6446B914-DD25-438C-985E-231095C15D34}" name="25m MARIPOSA" dataDxfId="6"/>
    <tableColumn id="14" xr3:uid="{ADF9866C-0662-48A4-BD02-64795FE4507E}" name="LLEGADA MARIPOSA" dataDxfId="5"/>
    <tableColumn id="15" xr3:uid="{B9BF3AB6-845A-4D24-8DE1-E6713B1B6A8E}" name="SALIDA OLIMP. PECHO" dataDxfId="4"/>
    <tableColumn id="16" xr3:uid="{66B4F0A1-9475-49BD-BDF4-157D5AF07759}" name="25m PECHO" dataDxfId="3"/>
    <tableColumn id="17" xr3:uid="{C4433153-B84C-45D5-9DAA-18C80B367D88}" name="LLEGADA PECHO" dataDxfId="2"/>
    <tableColumn id="18" xr3:uid="{3A6F3CA6-C52F-40C3-9659-D551D3CB8905}" name="Pase de Nivel 4,9 ptos" dataDxfId="1">
      <calculatedColumnFormula>IFERROR(AVERAGE(G3:S3),"-")</calculatedColumnFormula>
    </tableColumn>
    <tableColumn id="19" xr3:uid="{A6317C45-4DC3-4C83-B4AE-F03D89924519}" name="Cambio de Nivel" dataDxfId="0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75" dataDxfId="74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73"/>
    <tableColumn id="1" xr3:uid="{47EC1D0D-C132-491F-995F-583089EB3DC6}" name="NIVEL" dataDxfId="72"/>
    <tableColumn id="2" xr3:uid="{E3EBB2A9-A349-4F03-8A3C-7C71DFE91475}" name="MES" dataDxfId="71"/>
    <tableColumn id="4" xr3:uid="{15956556-3BA8-42CE-A623-63D4505D4189}" name="NOMBRE DEL ALUMNO" dataDxfId="7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0</v>
      </c>
      <c r="C4" s="17">
        <f>COUNTIF('NIVEL 1'!$C:$C,REPORTE!A4)</f>
        <v>0</v>
      </c>
      <c r="D4" s="17">
        <f>COUNTIFS('NIVEL 1'!$C:$C,Tabla11[[#This Row],[MESES]],'NIVEL 1'!$O:$O,"CAMBIA A NIVEL 2")</f>
        <v>0</v>
      </c>
      <c r="E4" s="17">
        <f>COUNTIF('NIVEL 2'!$C:$C,REPORTE!A4)</f>
        <v>0</v>
      </c>
      <c r="F4" s="17">
        <f>COUNTIFS('NIVEL 2'!$C:$C,Tabla11[[#This Row],[MESES]],'NIVEL 2'!$O:$O,"CAMBIA A NIVEL 3")</f>
        <v>0</v>
      </c>
      <c r="G4" s="17">
        <f>COUNTIF('NIVEL 3'!$C:$C,REPORTE!A4)</f>
        <v>0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0</v>
      </c>
      <c r="C5" s="17">
        <f>COUNTIF('NIVEL 1'!$C:$C,REPORTE!A5)</f>
        <v>0</v>
      </c>
      <c r="D5" s="17">
        <f>COUNTIFS('NIVEL 1'!$C:$C,Tabla11[[#This Row],[MESES]],'NIVEL 1'!$O:$O,"CAMBIA A NIVEL 2")</f>
        <v>0</v>
      </c>
      <c r="E5" s="17">
        <f>COUNTIF('NIVEL 2'!$C:$C,REPORTE!A5)</f>
        <v>0</v>
      </c>
      <c r="F5" s="17">
        <f>COUNTIFS('NIVEL 2'!$C:$C,Tabla11[[#This Row],[MESES]],'NIVEL 2'!$O:$O,"CAMBIA A NIVEL 3")</f>
        <v>0</v>
      </c>
      <c r="G5" s="17">
        <f>COUNTIF('NIVEL 3'!$C:$C,REPORTE!A5)</f>
        <v>0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0</v>
      </c>
      <c r="C6" s="17">
        <f>COUNTIF('NIVEL 1'!$C:$C,REPORTE!A6)</f>
        <v>0</v>
      </c>
      <c r="D6" s="17">
        <f>COUNTIFS('NIVEL 1'!$C:$C,Tabla11[[#This Row],[MESES]],'NIVEL 1'!$O:$O,"CAMBIA A NIVEL 2")</f>
        <v>0</v>
      </c>
      <c r="E6" s="17">
        <f>COUNTIF('NIVEL 2'!$C:$C,REPORTE!A6)</f>
        <v>0</v>
      </c>
      <c r="F6" s="17">
        <f>COUNTIFS('NIVEL 2'!$C:$C,Tabla11[[#This Row],[MESES]],'NIVEL 2'!$O:$O,"CAMBIA A NIVEL 3")</f>
        <v>0</v>
      </c>
      <c r="G6" s="17">
        <f>COUNTIF('NIVEL 3'!$C:$C,REPORTE!A6)</f>
        <v>0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5"/>
  <sheetViews>
    <sheetView tabSelected="1" workbookViewId="0">
      <pane ySplit="2" topLeftCell="A6" activePane="bottomLeft" state="frozenSplit"/>
      <selection activeCell="F38" sqref="F38:U41"/>
      <selection pane="bottomLeft" activeCell="J18" sqref="J18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11"/>
  <sheetViews>
    <sheetView workbookViewId="0">
      <pane ySplit="2" topLeftCell="A3" activePane="bottomLeft" state="frozenSplit"/>
      <selection activeCell="F38" sqref="F38:U41"/>
      <selection pane="bottomLeft" activeCell="D8" sqref="D8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5"/>
  <sheetViews>
    <sheetView workbookViewId="0">
      <pane ySplit="2" topLeftCell="A3" activePane="bottomLeft" state="frozenSplit"/>
      <selection activeCell="Q154" sqref="Q154"/>
      <selection pane="bottomLeft" activeCell="R9" sqref="R9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 t="shared" ref="T4:T5" si="0"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 t="shared" si="0"/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ignoredErrors>
    <ignoredError sqref="T4:T5" formulaRange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2026-03-05T15:21:38Z</dcterms:modified>
</cp:coreProperties>
</file>