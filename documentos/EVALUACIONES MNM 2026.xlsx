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D88ADCEB-54F8-4DF3-A6BE-659BC915F32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fileRecoveryPr repairLoad="1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3" l="1"/>
  <c r="T5" i="3"/>
  <c r="T3" i="3"/>
  <c r="U3" i="3" s="1" a="1"/>
  <c r="U3" i="3" s="1"/>
  <c r="U4" i="3" a="1"/>
  <c r="U4" i="3" s="1"/>
  <c r="U5" i="3" a="1"/>
  <c r="U5" i="3" s="1"/>
  <c r="A5" i="3"/>
  <c r="B5" i="3" s="1"/>
  <c r="C5" i="3"/>
  <c r="N4" i="2"/>
  <c r="O4" i="2" s="1" a="1"/>
  <c r="O4" i="2" s="1"/>
  <c r="N5" i="2"/>
  <c r="N6" i="2"/>
  <c r="O6" i="2" s="1" a="1"/>
  <c r="O6" i="2" s="1"/>
  <c r="N7" i="2"/>
  <c r="N8" i="2"/>
  <c r="N9" i="2"/>
  <c r="N10" i="2"/>
  <c r="N11" i="2"/>
  <c r="A7" i="2"/>
  <c r="A5" i="2"/>
  <c r="A10" i="2"/>
  <c r="A6" i="2"/>
  <c r="A9" i="2"/>
  <c r="A8" i="2"/>
  <c r="A11" i="2"/>
  <c r="B7" i="2"/>
  <c r="B5" i="2"/>
  <c r="B10" i="2"/>
  <c r="B6" i="2"/>
  <c r="B9" i="2"/>
  <c r="B8" i="2"/>
  <c r="B11" i="2"/>
  <c r="C7" i="2"/>
  <c r="C5" i="2"/>
  <c r="C10" i="2"/>
  <c r="C6" i="2"/>
  <c r="C9" i="2"/>
  <c r="C8" i="2"/>
  <c r="C11" i="2"/>
  <c r="O9" i="2" a="1"/>
  <c r="O9" i="2" s="1"/>
  <c r="O8" i="2" a="1"/>
  <c r="O8" i="2" s="1"/>
  <c r="O11" i="2" a="1"/>
  <c r="O11" i="2" s="1"/>
  <c r="O7" i="2" a="1"/>
  <c r="O7" i="2" s="1"/>
  <c r="O5" i="2" a="1"/>
  <c r="O5" i="2" s="1"/>
  <c r="O10" i="2" a="1"/>
  <c r="O10" i="2" s="1"/>
  <c r="N4" i="1"/>
  <c r="O4" i="1" s="1" a="1"/>
  <c r="O4" i="1" s="1"/>
  <c r="N5" i="1"/>
  <c r="O5" i="1" s="1" a="1"/>
  <c r="O5" i="1" s="1"/>
  <c r="N6" i="1"/>
  <c r="O6" i="1" s="1" a="1"/>
  <c r="O6" i="1" s="1"/>
  <c r="N7" i="1"/>
  <c r="O7" i="1" s="1" a="1"/>
  <c r="O7" i="1" s="1"/>
  <c r="N8" i="1"/>
  <c r="O8" i="1" s="1" a="1"/>
  <c r="O8" i="1" s="1"/>
  <c r="N9" i="1"/>
  <c r="O9" i="1" s="1" a="1"/>
  <c r="O9" i="1" s="1"/>
  <c r="N10" i="1"/>
  <c r="O10" i="1" s="1" a="1"/>
  <c r="O10" i="1" s="1"/>
  <c r="N11" i="1"/>
  <c r="O11" i="1" s="1" a="1"/>
  <c r="O11" i="1" s="1"/>
  <c r="N12" i="1"/>
  <c r="O12" i="1" s="1" a="1"/>
  <c r="O12" i="1" s="1"/>
  <c r="N13" i="1"/>
  <c r="O13" i="1" s="1" a="1"/>
  <c r="O13" i="1" s="1"/>
  <c r="N14" i="1"/>
  <c r="O14" i="1" s="1" a="1"/>
  <c r="O14" i="1" s="1"/>
  <c r="N15" i="1"/>
  <c r="O15" i="1" s="1" a="1"/>
  <c r="O15" i="1" s="1"/>
  <c r="N16" i="1"/>
  <c r="O16" i="1" s="1" a="1"/>
  <c r="O16" i="1" s="1"/>
  <c r="N17" i="1"/>
  <c r="O17" i="1" s="1" a="1"/>
  <c r="O17" i="1" s="1"/>
  <c r="N18" i="1"/>
  <c r="O18" i="1" s="1" a="1"/>
  <c r="O18" i="1" s="1"/>
  <c r="N19" i="1"/>
  <c r="O19" i="1" s="1" a="1"/>
  <c r="O19" i="1" s="1"/>
  <c r="N20" i="1"/>
  <c r="O20" i="1" s="1" a="1"/>
  <c r="O20" i="1" s="1"/>
  <c r="N21" i="1"/>
  <c r="O21" i="1" s="1" a="1"/>
  <c r="O21" i="1" s="1"/>
  <c r="N22" i="1"/>
  <c r="O22" i="1" s="1" a="1"/>
  <c r="O22" i="1" s="1"/>
  <c r="N23" i="1"/>
  <c r="O23" i="1" s="1" a="1"/>
  <c r="O23" i="1" s="1"/>
  <c r="N24" i="1"/>
  <c r="O24" i="1" s="1" a="1"/>
  <c r="O24" i="1" s="1"/>
  <c r="N25" i="1"/>
  <c r="O25" i="1" s="1" a="1"/>
  <c r="O25" i="1" s="1"/>
  <c r="A22" i="1"/>
  <c r="A13" i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B22" i="1"/>
  <c r="B13" i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O3" i="2" s="1"/>
  <c r="N3" i="1"/>
  <c r="O3" i="1" s="1" a="1"/>
  <c r="O3" i="1" s="1"/>
  <c r="A4" i="3" l="1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 l="1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<sst xmlns="http://schemas.openxmlformats.org/spreadsheetml/2006/main" count="160" uniqueCount="99">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</sst>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25" totalsRowShown="0" headerRowDxfId="58" dataDxfId="57" tableBorderDxfId="56">
  <autoFilter ref="A2:O25" xr:uid="{AE1B38D2-F5E0-437E-A0C7-D4FAEDCDAD9F}"/>
  <sortState xmlns:xlrd2="http://schemas.microsoft.com/office/spreadsheetml/2017/richdata2" ref="A3:O25">
    <sortCondition ref="D3:D25"/>
    <sortCondition ref="A3:A25"/>
    <sortCondition ref="F3:F25"/>
  </sortState>
  <tableColumns count="15">
    <tableColumn id="15" xr3:uid="{06087576-FB0C-44ED-9CDF-C51BACC66F7B}" name="#" dataDxfId="55">
      <calculatedColumnFormula>MONTH(NIVEL_1[[#This Row],[Fecha de Evaluación]])</calculatedColumnFormula>
    </tableColumn>
    <tableColumn id="1" xr3:uid="{8EF9B412-985A-48AA-9792-B95947050FCB}" name="NIVEL" dataDxfId="54">
      <calculatedColumnFormula>IF(NIVEL_1[[#This Row],['#]]&gt;0,"NIVEL 1","")</calculatedColumnFormula>
    </tableColumn>
    <tableColumn id="2" xr3:uid="{2E9F9510-35A9-488E-B1DE-D74FC37EE91B}" name="MES" dataDxfId="53">
      <calculatedColumnFormula>TEXT(NIVEL_1[[#This Row],[Fecha de Evaluación]],"MMMM")</calculatedColumnFormula>
    </tableColumn>
    <tableColumn id="3" xr3:uid="{9F822B2A-0A90-4E18-A961-AC7ADB5E33D7}" name="Fecha de Evaluación" dataDxfId="52"/>
    <tableColumn id="4" xr3:uid="{F1A37849-EC75-4EFB-8761-8B4816148787}" name="NOMBRE DEL ALUMNO" dataDxfId="51"/>
    <tableColumn id="5" xr3:uid="{75F8F1A3-4C2C-48D8-BDA8-8EDA5D423C89}" name="DOCUMENTO" dataDxfId="50"/>
    <tableColumn id="6" xr3:uid="{C323AA94-0265-4893-9265-35B1038BBE77}" name="AMBIENTACION" dataDxfId="49"/>
    <tableColumn id="7" xr3:uid="{508CEACB-AA59-433A-AFBE-23B4CF5354AF}" name="FLOTACION DEFENSIVA" dataDxfId="48"/>
    <tableColumn id="8" xr3:uid="{596F9D83-7601-4A50-9A71-07FA546F1FDC}" name="PATADA CROL" dataDxfId="47"/>
    <tableColumn id="9" xr3:uid="{1386C268-2BDD-48F8-9EC7-CB447E9A76B9}" name="PADATA ESPALDA" dataDxfId="46"/>
    <tableColumn id="10" xr3:uid="{B76B36D4-2E2E-4645-8403-BA569067D6EB}" name="ENS. CROL" dataDxfId="45"/>
    <tableColumn id="11" xr3:uid="{A284663E-58C2-40EC-80B3-D1F680E97AF3}" name="ENS ESPALDA" dataDxfId="44"/>
    <tableColumn id="12" xr3:uid="{EA24CD10-C3F1-45CB-A915-9CB5EA29D8A1}" name="SALTO" dataDxfId="43"/>
    <tableColumn id="13" xr3:uid="{95D67B47-0B42-429F-9EC3-5161FF1E86D0}" name="Pase de Nivel 4,7 ptos" dataDxfId="42">
      <calculatedColumnFormula>IFERROR(AVERAGE('NIVEL 1'!G3:M3),"-")</calculatedColumnFormula>
    </tableColumn>
    <tableColumn id="14" xr3:uid="{20659D21-4226-4F1C-9913-990D646166B3}" name="Cambio de Nivel" dataDxfId="41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1" totalsRowShown="0" headerRowDxfId="40" dataDxfId="39">
  <autoFilter ref="A2:O11" xr:uid="{D3B83B8F-7030-4C6B-865D-1CEF5FF0A135}"/>
  <sortState xmlns:xlrd2="http://schemas.microsoft.com/office/spreadsheetml/2017/richdata2" ref="A3:O11">
    <sortCondition ref="A3:A4"/>
    <sortCondition ref="F3:F4"/>
  </sortState>
  <tableColumns count="15">
    <tableColumn id="15" xr3:uid="{09B76DB3-82BE-4C0B-B453-BF194A257258}" name="#" dataDxfId="38">
      <calculatedColumnFormula>MONTH(NIVEL_2[[#This Row],[Fecha de Evaluación]])</calculatedColumnFormula>
    </tableColumn>
    <tableColumn id="1" xr3:uid="{A30C7826-C605-4AD6-9BD1-976B3108B364}" name="NIVEL" dataDxfId="37">
      <calculatedColumnFormula>IF(NIVEL_2[[#This Row],['#]]&gt;0,"NIVEL 2","")</calculatedColumnFormula>
    </tableColumn>
    <tableColumn id="2" xr3:uid="{278C7F91-1379-491F-9B18-95B5FB0F5B4C}" name="MES" dataDxfId="36">
      <calculatedColumnFormula>TEXT(NIVEL_2[[#This Row],[Fecha de Evaluación]],"MMMM")</calculatedColumnFormula>
    </tableColumn>
    <tableColumn id="3" xr3:uid="{61734E93-B6EC-4BCE-81B8-694554146D51}" name="Fecha de Evaluación" dataDxfId="35"/>
    <tableColumn id="4" xr3:uid="{52287499-B96A-4EC4-9C46-4A9605C862D7}" name="NOMBRE DEL ALUMNO" dataDxfId="34"/>
    <tableColumn id="5" xr3:uid="{0ECA98BC-FB01-4F67-8A05-CB651A1C8B21}" name="DOCUMENTO" dataDxfId="33"/>
    <tableColumn id="6" xr3:uid="{4E959843-5A00-4667-9538-531D9390ABDE}" name="TECN ESTILO CROL" dataDxfId="32"/>
    <tableColumn id="7" xr3:uid="{D6B9A5DE-DA9B-48F2-BC77-F1A1DF233559}" name="TECN ESTILO ESPAL" dataDxfId="31"/>
    <tableColumn id="8" xr3:uid="{3674AFCF-043A-4668-A622-83DFE8ED6907}" name="ENSE EST PECHO" dataDxfId="30"/>
    <tableColumn id="9" xr3:uid="{4E82D7B2-52CF-420D-97A4-0A59EFC666C9}" name="ENSE EST MARIPOSA" dataDxfId="29"/>
    <tableColumn id="10" xr3:uid="{BF17361D-FC57-499E-9503-C2F33EB21C88}" name="INI SALIDA OLIMPICA" dataDxfId="28"/>
    <tableColumn id="11" xr3:uid="{8B1BEFD7-6FF5-425A-89DA-581562D0A38F}" name="50 m LIBRE" dataDxfId="27"/>
    <tableColumn id="12" xr3:uid="{991D9CFF-9F59-44B7-AA62-F62FE91F51E4}" name="INI VUELTA OLIMPICA" dataDxfId="26"/>
    <tableColumn id="13" xr3:uid="{1083E4EB-1DAF-41A3-B727-7BF532F1CB2C}" name="Pase de Nivel 4,7 ptos" dataDxfId="25">
      <calculatedColumnFormula>IFERROR(AVERAGE('NIVEL 2'!G3:M3),"-")</calculatedColumnFormula>
    </tableColumn>
    <tableColumn id="14" xr3:uid="{EA8CA3F6-4262-42A0-A47A-543052CC352E}" name="Cambio de Nivel" dataDxfId="24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5" totalsRowShown="0" headerRowDxfId="23" dataDxfId="22" tableBorderDxfId="21">
  <autoFilter ref="A2:U5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0">
      <calculatedColumnFormula>IFERROR(AVERAGE(G3:S3),"-")</calculatedColumnFormula>
    </tableColumn>
    <tableColumn id="19" xr3:uid="{A6317C45-4DC3-4C83-B4AE-F03D89924519}" name="Cambio de Nivel" dataDxfId="1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64" dataDxfId="63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62"/>
    <tableColumn id="1" xr3:uid="{47EC1D0D-C132-491F-995F-583089EB3DC6}" name="NIVEL" dataDxfId="61"/>
    <tableColumn id="2" xr3:uid="{E3EBB2A9-A349-4F03-8A3C-7C71DFE91475}" name="MES" dataDxfId="60"/>
    <tableColumn id="4" xr3:uid="{15956556-3BA8-42CE-A623-63D4505D4189}" name="NOMBRE DEL ALUMNO" dataDxfId="5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0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0</v>
      </c>
      <c r="C4" s="17">
        <f>COUNTIF('NIVEL 1'!$C:$C,REPORTE!A4)</f>
        <v>0</v>
      </c>
      <c r="D4" s="17">
        <f>COUNTIFS('NIVEL 1'!$C:$C,Tabla11[[#This Row],[MESES]],'NIVEL 1'!$O:$O,"CAMBIA A NIVEL 2")</f>
        <v>0</v>
      </c>
      <c r="E4" s="17">
        <f>COUNTIF('NIVEL 2'!$C:$C,REPORTE!A4)</f>
        <v>0</v>
      </c>
      <c r="F4" s="17">
        <f>COUNTIFS('NIVEL 2'!$C:$C,Tabla11[[#This Row],[MESES]],'NIVEL 2'!$O:$O,"CAMBIA A NIVEL 3")</f>
        <v>0</v>
      </c>
      <c r="G4" s="17">
        <f>COUNTIF('NIVEL 3'!$C:$C,REPORTE!A4)</f>
        <v>0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0</v>
      </c>
      <c r="C5" s="17">
        <f>COUNTIF('NIVEL 1'!$C:$C,REPORTE!A5)</f>
        <v>0</v>
      </c>
      <c r="D5" s="17">
        <f>COUNTIFS('NIVEL 1'!$C:$C,Tabla11[[#This Row],[MESES]],'NIVEL 1'!$O:$O,"CAMBIA A NIVEL 2")</f>
        <v>0</v>
      </c>
      <c r="E5" s="17">
        <f>COUNTIF('NIVEL 2'!$C:$C,REPORTE!A5)</f>
        <v>0</v>
      </c>
      <c r="F5" s="17">
        <f>COUNTIFS('NIVEL 2'!$C:$C,Tabla11[[#This Row],[MESES]],'NIVEL 2'!$O:$O,"CAMBIA A NIVEL 3")</f>
        <v>0</v>
      </c>
      <c r="G5" s="17">
        <f>COUNTIF('NIVEL 3'!$C:$C,REPORTE!A5)</f>
        <v>0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5"/>
  <sheetViews>
    <sheetView workbookViewId="0">
      <pane ySplit="2" topLeftCell="A6" activePane="bottomLeft" state="frozenSplit"/>
      <selection activeCell="F38" sqref="F38:U41"/>
      <selection pane="bottomLeft" activeCell="N20" sqref="N20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39">
        <f>MONTH(NIVEL_1[[#This Row],[Fecha de Evaluación]])</f>
        <v>2</v>
      </c>
      <c r="B13" s="40" t="str">
        <f>IF(NIVEL_1[[#This Row],['#]]&gt;0,"NIVEL 1","")</f>
        <v>NIVEL 1</v>
      </c>
      <c r="C13" s="40" t="str">
        <f>TEXT(NIVEL_1[[#This Row],[Fecha de Evaluación]],"MMMM")</f>
        <v>febrero</v>
      </c>
      <c r="D13" s="41">
        <v>46080</v>
      </c>
      <c r="E13" s="42" t="s">
        <v>64</v>
      </c>
      <c r="F13" s="43">
        <v>1035017030</v>
      </c>
      <c r="G13" s="44">
        <v>5</v>
      </c>
      <c r="H13" s="44">
        <v>5</v>
      </c>
      <c r="I13" s="44">
        <v>4</v>
      </c>
      <c r="J13" s="44">
        <v>2</v>
      </c>
      <c r="K13" s="44">
        <v>3</v>
      </c>
      <c r="L13" s="44">
        <v>2</v>
      </c>
      <c r="M13" s="44">
        <v>5</v>
      </c>
      <c r="N13" s="19">
        <f>IFERROR(AVERAGE('NIVEL 1'!G13:M13),"-")</f>
        <v>3.7142857142857144</v>
      </c>
      <c r="O13" s="45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39">
        <f>MONTH(NIVEL_1[[#This Row],[Fecha de Evaluación]])</f>
        <v>2</v>
      </c>
      <c r="B14" s="40" t="str">
        <f>IF(NIVEL_1[[#This Row],['#]]&gt;0,"NIVEL 1","")</f>
        <v>NIVEL 1</v>
      </c>
      <c r="C14" s="40" t="str">
        <f>TEXT(NIVEL_1[[#This Row],[Fecha de Evaluación]],"MMMM")</f>
        <v>febrero</v>
      </c>
      <c r="D14" s="41">
        <v>46080</v>
      </c>
      <c r="E14" s="42" t="s">
        <v>79</v>
      </c>
      <c r="F14" s="43">
        <v>1062540875</v>
      </c>
      <c r="G14" s="44">
        <v>5</v>
      </c>
      <c r="H14" s="44">
        <v>4</v>
      </c>
      <c r="I14" s="44">
        <v>3</v>
      </c>
      <c r="J14" s="44">
        <v>2</v>
      </c>
      <c r="K14" s="44">
        <v>2</v>
      </c>
      <c r="L14" s="44">
        <v>2</v>
      </c>
      <c r="M14" s="44">
        <v>3</v>
      </c>
      <c r="N14" s="19">
        <f>IFERROR(AVERAGE('NIVEL 1'!G14:M14),"-")</f>
        <v>3</v>
      </c>
      <c r="O14" s="45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39">
        <f>MONTH(NIVEL_1[[#This Row],[Fecha de Evaluación]])</f>
        <v>2</v>
      </c>
      <c r="B15" s="40" t="str">
        <f>IF(NIVEL_1[[#This Row],['#]]&gt;0,"NIVEL 1","")</f>
        <v>NIVEL 1</v>
      </c>
      <c r="C15" s="40" t="str">
        <f>TEXT(NIVEL_1[[#This Row],[Fecha de Evaluación]],"MMMM")</f>
        <v>febrero</v>
      </c>
      <c r="D15" s="41">
        <v>46080</v>
      </c>
      <c r="E15" s="42" t="s">
        <v>70</v>
      </c>
      <c r="F15" s="43">
        <v>1062546526</v>
      </c>
      <c r="G15" s="44">
        <v>5</v>
      </c>
      <c r="H15" s="44">
        <v>3</v>
      </c>
      <c r="I15" s="44">
        <v>3</v>
      </c>
      <c r="J15" s="44">
        <v>3</v>
      </c>
      <c r="K15" s="44">
        <v>2</v>
      </c>
      <c r="L15" s="44">
        <v>2</v>
      </c>
      <c r="M15" s="44">
        <v>4</v>
      </c>
      <c r="N15" s="19">
        <f>IFERROR(AVERAGE('NIVEL 1'!G15:M15),"-")</f>
        <v>3.1428571428571428</v>
      </c>
      <c r="O15" s="45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39">
        <f>MONTH(NIVEL_1[[#This Row],[Fecha de Evaluación]])</f>
        <v>2</v>
      </c>
      <c r="B16" s="40" t="str">
        <f>IF(NIVEL_1[[#This Row],['#]]&gt;0,"NIVEL 1","")</f>
        <v>NIVEL 1</v>
      </c>
      <c r="C16" s="40" t="str">
        <f>TEXT(NIVEL_1[[#This Row],[Fecha de Evaluación]],"MMMM")</f>
        <v>febrero</v>
      </c>
      <c r="D16" s="41">
        <v>46080</v>
      </c>
      <c r="E16" s="42" t="s">
        <v>68</v>
      </c>
      <c r="F16" s="43">
        <v>1062966144</v>
      </c>
      <c r="G16" s="44">
        <v>5</v>
      </c>
      <c r="H16" s="44">
        <v>5</v>
      </c>
      <c r="I16" s="44">
        <v>4</v>
      </c>
      <c r="J16" s="44">
        <v>4</v>
      </c>
      <c r="K16" s="44">
        <v>3</v>
      </c>
      <c r="L16" s="44">
        <v>3</v>
      </c>
      <c r="M16" s="44">
        <v>5</v>
      </c>
      <c r="N16" s="19">
        <f>IFERROR(AVERAGE('NIVEL 1'!G16:M16),"-")</f>
        <v>4.1428571428571432</v>
      </c>
      <c r="O16" s="45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39">
        <f>MONTH(NIVEL_1[[#This Row],[Fecha de Evaluación]])</f>
        <v>2</v>
      </c>
      <c r="B17" s="40" t="str">
        <f>IF(NIVEL_1[[#This Row],['#]]&gt;0,"NIVEL 1","")</f>
        <v>NIVEL 1</v>
      </c>
      <c r="C17" s="40" t="str">
        <f>TEXT(NIVEL_1[[#This Row],[Fecha de Evaluación]],"MMMM")</f>
        <v>febrero</v>
      </c>
      <c r="D17" s="41">
        <v>46080</v>
      </c>
      <c r="E17" s="42" t="s">
        <v>65</v>
      </c>
      <c r="F17" s="43">
        <v>1067859838</v>
      </c>
      <c r="G17" s="44">
        <v>0</v>
      </c>
      <c r="H17" s="44"/>
      <c r="I17" s="44"/>
      <c r="J17" s="44"/>
      <c r="K17" s="44"/>
      <c r="L17" s="44"/>
      <c r="M17" s="44"/>
      <c r="N17" s="19">
        <f>IFERROR(AVERAGE('NIVEL 1'!G17:M17),"-")</f>
        <v>0</v>
      </c>
      <c r="O17" s="45" t="str" cm="1">
        <f t="array" ref="O17">_xlfn.IFS(NIVEL_1[[#This Row],[Pase de Nivel 4,7 ptos]]="-","-",NIVEL_1[[#This Row],[Pase de Nivel 4,7 ptos]]&gt;=4.7,"CAMBIA A NIVEL 2",NIVEL_1[[#This Row],[Pase de Nivel 4,7 ptos]]&lt;=4.7,"-")</f>
        <v>-</v>
      </c>
    </row>
    <row r="18" spans="1:15" x14ac:dyDescent="0.3">
      <c r="A18" s="39">
        <f>MONTH(NIVEL_1[[#This Row],[Fecha de Evaluación]])</f>
        <v>2</v>
      </c>
      <c r="B18" s="40" t="str">
        <f>IF(NIVEL_1[[#This Row],['#]]&gt;0,"NIVEL 1","")</f>
        <v>NIVEL 1</v>
      </c>
      <c r="C18" s="40" t="str">
        <f>TEXT(NIVEL_1[[#This Row],[Fecha de Evaluación]],"MMMM")</f>
        <v>febrero</v>
      </c>
      <c r="D18" s="41">
        <v>46080</v>
      </c>
      <c r="E18" s="42" t="s">
        <v>67</v>
      </c>
      <c r="F18" s="43">
        <v>1067945529</v>
      </c>
      <c r="G18" s="44">
        <v>5</v>
      </c>
      <c r="H18" s="44">
        <v>5</v>
      </c>
      <c r="I18" s="44">
        <v>4</v>
      </c>
      <c r="J18" s="44">
        <v>4</v>
      </c>
      <c r="K18" s="44">
        <v>4</v>
      </c>
      <c r="L18" s="44">
        <v>4</v>
      </c>
      <c r="M18" s="44">
        <v>5</v>
      </c>
      <c r="N18" s="19">
        <f>IFERROR(AVERAGE('NIVEL 1'!G18:M18),"-")</f>
        <v>4.4285714285714288</v>
      </c>
      <c r="O18" s="45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39">
        <f>MONTH(NIVEL_1[[#This Row],[Fecha de Evaluación]])</f>
        <v>2</v>
      </c>
      <c r="B19" s="40" t="str">
        <f>IF(NIVEL_1[[#This Row],['#]]&gt;0,"NIVEL 1","")</f>
        <v>NIVEL 1</v>
      </c>
      <c r="C19" s="40" t="str">
        <f>TEXT(NIVEL_1[[#This Row],[Fecha de Evaluación]],"MMMM")</f>
        <v>febrero</v>
      </c>
      <c r="D19" s="41">
        <v>46080</v>
      </c>
      <c r="E19" s="42" t="s">
        <v>71</v>
      </c>
      <c r="F19" s="43">
        <v>1067956606</v>
      </c>
      <c r="G19" s="44">
        <v>5</v>
      </c>
      <c r="H19" s="44">
        <v>5</v>
      </c>
      <c r="I19" s="44">
        <v>5</v>
      </c>
      <c r="J19" s="44">
        <v>4</v>
      </c>
      <c r="K19" s="44">
        <v>4</v>
      </c>
      <c r="L19" s="44">
        <v>4</v>
      </c>
      <c r="M19" s="44">
        <v>5</v>
      </c>
      <c r="N19" s="19">
        <f>IFERROR(AVERAGE('NIVEL 1'!G19:M19),"-")</f>
        <v>4.5714285714285712</v>
      </c>
      <c r="O19" s="45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39">
        <f>MONTH(NIVEL_1[[#This Row],[Fecha de Evaluación]])</f>
        <v>2</v>
      </c>
      <c r="B20" s="40" t="str">
        <f>IF(NIVEL_1[[#This Row],['#]]&gt;0,"NIVEL 1","")</f>
        <v>NIVEL 1</v>
      </c>
      <c r="C20" s="40" t="str">
        <f>TEXT(NIVEL_1[[#This Row],[Fecha de Evaluación]],"MMMM")</f>
        <v>febrero</v>
      </c>
      <c r="D20" s="41">
        <v>46080</v>
      </c>
      <c r="E20" s="42" t="s">
        <v>66</v>
      </c>
      <c r="F20" s="43">
        <v>1068439110</v>
      </c>
      <c r="G20" s="44">
        <v>5</v>
      </c>
      <c r="H20" s="44">
        <v>5</v>
      </c>
      <c r="I20" s="44">
        <v>4</v>
      </c>
      <c r="J20" s="44">
        <v>4</v>
      </c>
      <c r="K20" s="44">
        <v>3</v>
      </c>
      <c r="L20" s="44">
        <v>3</v>
      </c>
      <c r="M20" s="44">
        <v>5</v>
      </c>
      <c r="N20" s="19">
        <f>IFERROR(AVERAGE('NIVEL 1'!G20:M20),"-")</f>
        <v>4.1428571428571432</v>
      </c>
      <c r="O20" s="45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39">
        <f>MONTH(NIVEL_1[[#This Row],[Fecha de Evaluación]])</f>
        <v>2</v>
      </c>
      <c r="B21" s="40" t="str">
        <f>IF(NIVEL_1[[#This Row],['#]]&gt;0,"NIVEL 1","")</f>
        <v>NIVEL 1</v>
      </c>
      <c r="C21" s="40" t="str">
        <f>TEXT(NIVEL_1[[#This Row],[Fecha de Evaluación]],"MMMM")</f>
        <v>febrero</v>
      </c>
      <c r="D21" s="41">
        <v>46080</v>
      </c>
      <c r="E21" s="42" t="s">
        <v>77</v>
      </c>
      <c r="F21" s="43">
        <v>1068443767</v>
      </c>
      <c r="G21" s="44">
        <v>5</v>
      </c>
      <c r="H21" s="44">
        <v>4</v>
      </c>
      <c r="I21" s="44">
        <v>1</v>
      </c>
      <c r="J21" s="44">
        <v>1</v>
      </c>
      <c r="K21" s="44">
        <v>1</v>
      </c>
      <c r="L21" s="44">
        <v>1</v>
      </c>
      <c r="M21" s="44">
        <v>5</v>
      </c>
      <c r="N21" s="19">
        <f>IFERROR(AVERAGE('NIVEL 1'!G21:M21),"-")</f>
        <v>2.5714285714285716</v>
      </c>
      <c r="O21" s="45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39">
        <f>MONTH(NIVEL_1[[#This Row],[Fecha de Evaluación]])</f>
        <v>2</v>
      </c>
      <c r="B22" s="40" t="str">
        <f>IF(NIVEL_1[[#This Row],['#]]&gt;0,"NIVEL 1","")</f>
        <v>NIVEL 1</v>
      </c>
      <c r="C22" s="40" t="str">
        <f>TEXT(NIVEL_1[[#This Row],[Fecha de Evaluación]],"MMMM")</f>
        <v>febrero</v>
      </c>
      <c r="D22" s="41">
        <v>46080</v>
      </c>
      <c r="E22" s="42" t="s">
        <v>63</v>
      </c>
      <c r="F22" s="43">
        <v>1073824962</v>
      </c>
      <c r="G22" s="44">
        <v>5</v>
      </c>
      <c r="H22" s="44">
        <v>5</v>
      </c>
      <c r="I22" s="44">
        <v>4</v>
      </c>
      <c r="J22" s="44">
        <v>4</v>
      </c>
      <c r="K22" s="44">
        <v>4</v>
      </c>
      <c r="L22" s="44">
        <v>3</v>
      </c>
      <c r="M22" s="44">
        <v>5</v>
      </c>
      <c r="N22" s="19">
        <f>IFERROR(AVERAGE('NIVEL 1'!G22:M22),"-")</f>
        <v>4.2857142857142856</v>
      </c>
      <c r="O22" s="45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39">
        <f>MONTH(NIVEL_1[[#This Row],[Fecha de Evaluación]])</f>
        <v>2</v>
      </c>
      <c r="B23" s="40" t="str">
        <f>IF(NIVEL_1[[#This Row],['#]]&gt;0,"NIVEL 1","")</f>
        <v>NIVEL 1</v>
      </c>
      <c r="C23" s="40" t="str">
        <f>TEXT(NIVEL_1[[#This Row],[Fecha de Evaluación]],"MMMM")</f>
        <v>febrero</v>
      </c>
      <c r="D23" s="41">
        <v>46080</v>
      </c>
      <c r="E23" s="42" t="s">
        <v>76</v>
      </c>
      <c r="F23" s="43">
        <v>1126253349</v>
      </c>
      <c r="G23" s="44">
        <v>5</v>
      </c>
      <c r="H23" s="44">
        <v>5</v>
      </c>
      <c r="I23" s="44">
        <v>4</v>
      </c>
      <c r="J23" s="44">
        <v>4</v>
      </c>
      <c r="K23" s="44">
        <v>4</v>
      </c>
      <c r="L23" s="44">
        <v>4</v>
      </c>
      <c r="M23" s="44">
        <v>5</v>
      </c>
      <c r="N23" s="19">
        <f>IFERROR(AVERAGE('NIVEL 1'!G23:M23),"-")</f>
        <v>4.4285714285714288</v>
      </c>
      <c r="O23" s="45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39">
        <f>MONTH(NIVEL_1[[#This Row],[Fecha de Evaluación]])</f>
        <v>2</v>
      </c>
      <c r="B24" s="40" t="str">
        <f>IF(NIVEL_1[[#This Row],['#]]&gt;0,"NIVEL 1","")</f>
        <v>NIVEL 1</v>
      </c>
      <c r="C24" s="40" t="str">
        <f>TEXT(NIVEL_1[[#This Row],[Fecha de Evaluación]],"MMMM")</f>
        <v>febrero</v>
      </c>
      <c r="D24" s="41">
        <v>46080</v>
      </c>
      <c r="E24" s="42" t="s">
        <v>78</v>
      </c>
      <c r="F24" s="43">
        <v>1233346601</v>
      </c>
      <c r="G24" s="44">
        <v>5</v>
      </c>
      <c r="H24" s="44">
        <v>4</v>
      </c>
      <c r="I24" s="44">
        <v>3</v>
      </c>
      <c r="J24" s="44">
        <v>3</v>
      </c>
      <c r="K24" s="44">
        <v>2</v>
      </c>
      <c r="L24" s="44">
        <v>2</v>
      </c>
      <c r="M24" s="44">
        <v>5</v>
      </c>
      <c r="N24" s="19">
        <f>IFERROR(AVERAGE('NIVEL 1'!G24:M24),"-")</f>
        <v>3.4285714285714284</v>
      </c>
      <c r="O24" s="45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39">
        <f>MONTH(NIVEL_1[[#This Row],[Fecha de Evaluación]])</f>
        <v>2</v>
      </c>
      <c r="B25" s="40" t="str">
        <f>IF(NIVEL_1[[#This Row],['#]]&gt;0,"NIVEL 1","")</f>
        <v>NIVEL 1</v>
      </c>
      <c r="C25" s="40" t="str">
        <f>TEXT(NIVEL_1[[#This Row],[Fecha de Evaluación]],"MMMM")</f>
        <v>febrero</v>
      </c>
      <c r="D25" s="41">
        <v>46080</v>
      </c>
      <c r="E25" s="42" t="s">
        <v>80</v>
      </c>
      <c r="F25" s="46" t="s">
        <v>80</v>
      </c>
      <c r="G25" s="44">
        <v>5</v>
      </c>
      <c r="H25" s="44">
        <v>5</v>
      </c>
      <c r="I25" s="44">
        <v>5</v>
      </c>
      <c r="J25" s="44">
        <v>4</v>
      </c>
      <c r="K25" s="44">
        <v>4</v>
      </c>
      <c r="L25" s="44">
        <v>4</v>
      </c>
      <c r="M25" s="44">
        <v>5</v>
      </c>
      <c r="N25" s="19">
        <f>IFERROR(AVERAGE('NIVEL 1'!G25:M25),"-")</f>
        <v>4.5714285714285712</v>
      </c>
      <c r="O25" s="45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1"/>
  <sheetViews>
    <sheetView workbookViewId="0">
      <pane ySplit="2" topLeftCell="A3" activePane="bottomLeft" state="frozenSplit"/>
      <selection activeCell="F38" sqref="F38:U41"/>
      <selection pane="bottomLeft" activeCell="D8" sqref="D8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44">
        <f>MONTH(NIVEL_2[[#This Row],[Fecha de Evaluación]])</f>
        <v>2</v>
      </c>
      <c r="B5" s="47" t="str">
        <f>IF(NIVEL_2[[#This Row],['#]]&gt;0,"NIVEL 2","")</f>
        <v>NIVEL 2</v>
      </c>
      <c r="C5" s="47" t="str">
        <f>TEXT(NIVEL_2[[#This Row],[Fecha de Evaluación]],"MMMM")</f>
        <v>febrero</v>
      </c>
      <c r="D5" s="41">
        <v>46081</v>
      </c>
      <c r="E5" s="42" t="s">
        <v>82</v>
      </c>
      <c r="F5" s="44">
        <v>1027663882</v>
      </c>
      <c r="G5" s="44">
        <v>4</v>
      </c>
      <c r="H5" s="44">
        <v>4</v>
      </c>
      <c r="I5" s="44">
        <v>4</v>
      </c>
      <c r="J5" s="44">
        <v>4</v>
      </c>
      <c r="K5" s="44">
        <v>3</v>
      </c>
      <c r="L5" s="44">
        <v>5</v>
      </c>
      <c r="M5" s="44">
        <v>3</v>
      </c>
      <c r="N5" s="19">
        <f>IFERROR(AVERAGE('NIVEL 2'!G5:M5),"-")</f>
        <v>3.8571428571428572</v>
      </c>
      <c r="O5" s="4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44">
        <f>MONTH(NIVEL_2[[#This Row],[Fecha de Evaluación]])</f>
        <v>2</v>
      </c>
      <c r="B6" s="47" t="str">
        <f>IF(NIVEL_2[[#This Row],['#]]&gt;0,"NIVEL 2","")</f>
        <v>NIVEL 2</v>
      </c>
      <c r="C6" s="47" t="str">
        <f>TEXT(NIVEL_2[[#This Row],[Fecha de Evaluación]],"MMMM")</f>
        <v>febrero</v>
      </c>
      <c r="D6" s="41">
        <v>46081</v>
      </c>
      <c r="E6" s="42" t="s">
        <v>62</v>
      </c>
      <c r="F6" s="44">
        <v>1035003918</v>
      </c>
      <c r="G6" s="44">
        <v>4</v>
      </c>
      <c r="H6" s="44">
        <v>4</v>
      </c>
      <c r="I6" s="44">
        <v>4</v>
      </c>
      <c r="J6" s="44">
        <v>4</v>
      </c>
      <c r="K6" s="44">
        <v>4</v>
      </c>
      <c r="L6" s="44">
        <v>4</v>
      </c>
      <c r="M6" s="44">
        <v>2</v>
      </c>
      <c r="N6" s="19">
        <f>IFERROR(AVERAGE('NIVEL 2'!G6:M6),"-")</f>
        <v>3.7142857142857144</v>
      </c>
      <c r="O6" s="4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44">
        <f>MONTH(NIVEL_2[[#This Row],[Fecha de Evaluación]])</f>
        <v>2</v>
      </c>
      <c r="B7" s="47" t="str">
        <f>IF(NIVEL_2[[#This Row],['#]]&gt;0,"NIVEL 2","")</f>
        <v>NIVEL 2</v>
      </c>
      <c r="C7" s="47" t="str">
        <f>TEXT(NIVEL_2[[#This Row],[Fecha de Evaluación]],"MMMM")</f>
        <v>febrero</v>
      </c>
      <c r="D7" s="41">
        <v>46081</v>
      </c>
      <c r="E7" s="42" t="s">
        <v>81</v>
      </c>
      <c r="F7" s="44">
        <v>1062981643</v>
      </c>
      <c r="G7" s="44">
        <v>4</v>
      </c>
      <c r="H7" s="44">
        <v>5</v>
      </c>
      <c r="I7" s="44">
        <v>2</v>
      </c>
      <c r="J7" s="44">
        <v>3</v>
      </c>
      <c r="K7" s="44">
        <v>3</v>
      </c>
      <c r="L7" s="44">
        <v>4</v>
      </c>
      <c r="M7" s="44">
        <v>2</v>
      </c>
      <c r="N7" s="19">
        <f>IFERROR(AVERAGE('NIVEL 2'!G7:M7),"-")</f>
        <v>3.2857142857142856</v>
      </c>
      <c r="O7" s="4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44">
        <f>MONTH(NIVEL_2[[#This Row],[Fecha de Evaluación]])</f>
        <v>2</v>
      </c>
      <c r="B8" s="47" t="str">
        <f>IF(NIVEL_2[[#This Row],['#]]&gt;0,"NIVEL 2","")</f>
        <v>NIVEL 2</v>
      </c>
      <c r="C8" s="47" t="str">
        <f>TEXT(NIVEL_2[[#This Row],[Fecha de Evaluación]],"MMMM")</f>
        <v>febrero</v>
      </c>
      <c r="D8" s="41">
        <v>46081</v>
      </c>
      <c r="E8" s="42" t="s">
        <v>72</v>
      </c>
      <c r="F8" s="44">
        <v>1073817245</v>
      </c>
      <c r="G8" s="44">
        <v>4</v>
      </c>
      <c r="H8" s="44">
        <v>4</v>
      </c>
      <c r="I8" s="44">
        <v>2</v>
      </c>
      <c r="J8" s="44">
        <v>3</v>
      </c>
      <c r="K8" s="44">
        <v>2</v>
      </c>
      <c r="L8" s="44">
        <v>4</v>
      </c>
      <c r="M8" s="44">
        <v>2</v>
      </c>
      <c r="N8" s="19">
        <f>IFERROR(AVERAGE('NIVEL 2'!G8:M8),"-")</f>
        <v>3</v>
      </c>
      <c r="O8" s="4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44">
        <f>MONTH(NIVEL_2[[#This Row],[Fecha de Evaluación]])</f>
        <v>2</v>
      </c>
      <c r="B9" s="47" t="str">
        <f>IF(NIVEL_2[[#This Row],['#]]&gt;0,"NIVEL 2","")</f>
        <v>NIVEL 2</v>
      </c>
      <c r="C9" s="47" t="str">
        <f>TEXT(NIVEL_2[[#This Row],[Fecha de Evaluación]],"MMMM")</f>
        <v>febrero</v>
      </c>
      <c r="D9" s="41">
        <v>46081</v>
      </c>
      <c r="E9" s="42" t="s">
        <v>84</v>
      </c>
      <c r="F9" s="44">
        <v>1104267144</v>
      </c>
      <c r="G9" s="44">
        <v>4</v>
      </c>
      <c r="H9" s="44">
        <v>4</v>
      </c>
      <c r="I9" s="44">
        <v>3</v>
      </c>
      <c r="J9" s="44">
        <v>3</v>
      </c>
      <c r="K9" s="44">
        <v>5</v>
      </c>
      <c r="L9" s="44">
        <v>4</v>
      </c>
      <c r="M9" s="44">
        <v>3</v>
      </c>
      <c r="N9" s="19">
        <f>IFERROR(AVERAGE('NIVEL 2'!G9:M9),"-")</f>
        <v>3.7142857142857144</v>
      </c>
      <c r="O9" s="4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44">
        <f>MONTH(NIVEL_2[[#This Row],[Fecha de Evaluación]])</f>
        <v>2</v>
      </c>
      <c r="B10" s="47" t="str">
        <f>IF(NIVEL_2[[#This Row],['#]]&gt;0,"NIVEL 2","")</f>
        <v>NIVEL 2</v>
      </c>
      <c r="C10" s="47" t="str">
        <f>TEXT(NIVEL_2[[#This Row],[Fecha de Evaluación]],"MMMM")</f>
        <v>febrero</v>
      </c>
      <c r="D10" s="41">
        <v>46080</v>
      </c>
      <c r="E10" s="42" t="s">
        <v>83</v>
      </c>
      <c r="F10" s="44">
        <v>1138032549</v>
      </c>
      <c r="G10" s="44">
        <v>4</v>
      </c>
      <c r="H10" s="44">
        <v>5</v>
      </c>
      <c r="I10" s="44">
        <v>2</v>
      </c>
      <c r="J10" s="44">
        <v>3</v>
      </c>
      <c r="K10" s="44">
        <v>5</v>
      </c>
      <c r="L10" s="44">
        <v>4</v>
      </c>
      <c r="M10" s="44">
        <v>5</v>
      </c>
      <c r="N10" s="19">
        <f>IFERROR(AVERAGE('NIVEL 2'!G10:M10),"-")</f>
        <v>4</v>
      </c>
      <c r="O10" s="4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44">
        <f>MONTH(NIVEL_2[[#This Row],[Fecha de Evaluación]])</f>
        <v>2</v>
      </c>
      <c r="B11" s="47" t="str">
        <f>IF(NIVEL_2[[#This Row],['#]]&gt;0,"NIVEL 2","")</f>
        <v>NIVEL 2</v>
      </c>
      <c r="C11" s="47" t="str">
        <f>TEXT(NIVEL_2[[#This Row],[Fecha de Evaluación]],"MMMM")</f>
        <v>febrero</v>
      </c>
      <c r="D11" s="41">
        <v>46081</v>
      </c>
      <c r="E11" s="42" t="s">
        <v>73</v>
      </c>
      <c r="F11" s="44">
        <v>1140444971</v>
      </c>
      <c r="G11" s="44">
        <v>5</v>
      </c>
      <c r="H11" s="44">
        <v>4</v>
      </c>
      <c r="I11" s="44">
        <v>4</v>
      </c>
      <c r="J11" s="44">
        <v>4</v>
      </c>
      <c r="K11" s="44">
        <v>3</v>
      </c>
      <c r="L11" s="44">
        <v>5</v>
      </c>
      <c r="M11" s="44">
        <v>2</v>
      </c>
      <c r="N11" s="19">
        <f>IFERROR(AVERAGE('NIVEL 2'!G11:M11),"-")</f>
        <v>3.8571428571428572</v>
      </c>
      <c r="O11" s="4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5"/>
  <sheetViews>
    <sheetView workbookViewId="0">
      <pane ySplit="2" topLeftCell="A3" activePane="bottomLeft" state="frozenSplit"/>
      <selection activeCell="Q154" sqref="Q154"/>
      <selection pane="bottomLeft" activeCell="R9" sqref="R9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49">
        <f>MONTH(NIVEL_3[[#This Row],[Fecha de Evaluación]])</f>
        <v>2</v>
      </c>
      <c r="B5" s="40" t="str">
        <f>IF(NIVEL_3[[#This Row],['#]]&gt;0,"NIVEL 3","")</f>
        <v>NIVEL 3</v>
      </c>
      <c r="C5" s="50" t="str">
        <f>TEXT(NIVEL_3[[#This Row],[Fecha de Evaluación]],"MMMM")</f>
        <v>febrero</v>
      </c>
      <c r="D5" s="41">
        <v>46081</v>
      </c>
      <c r="E5" s="51" t="s">
        <v>85</v>
      </c>
      <c r="F5" s="52">
        <v>1062539643</v>
      </c>
      <c r="G5" s="52">
        <v>4</v>
      </c>
      <c r="H5" s="52">
        <v>4</v>
      </c>
      <c r="I5" s="52">
        <v>5</v>
      </c>
      <c r="J5" s="52">
        <v>5</v>
      </c>
      <c r="K5" s="52">
        <v>4</v>
      </c>
      <c r="L5" s="52">
        <v>3</v>
      </c>
      <c r="M5" s="52">
        <v>5</v>
      </c>
      <c r="N5" s="52">
        <v>4</v>
      </c>
      <c r="O5" s="52">
        <v>4</v>
      </c>
      <c r="P5" s="52">
        <v>5</v>
      </c>
      <c r="Q5" s="52">
        <v>3</v>
      </c>
      <c r="R5" s="52">
        <v>3</v>
      </c>
      <c r="S5" s="52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tabSelected="1"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2026-03-01T23:52:38Z</dcterms:modified>
</cp:coreProperties>
</file>